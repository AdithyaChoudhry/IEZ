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062\Desktop\Extramiler\Project X\"/>
    </mc:Choice>
  </mc:AlternateContent>
  <bookViews>
    <workbookView xWindow="0" yWindow="0" windowWidth="28800" windowHeight="11610"/>
  </bookViews>
  <sheets>
    <sheet name="AI - INST" sheetId="1" r:id="rId1"/>
    <sheet name="FCV - INST" sheetId="2" state="hidden" r:id="rId2"/>
    <sheet name="XV VALVE" sheetId="5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___xlfn.BAHTTEXT" hidden="1">#NAME?</definedName>
    <definedName name="___xlfn.BAHTTEXT" hidden="1">#NAME?</definedName>
    <definedName name="__xlfn.BAHTTEXT" hidden="1">#NAME?</definedName>
    <definedName name="_Fill" localSheetId="2" hidden="1">#REF!</definedName>
    <definedName name="_Fill" hidden="1">#REF!</definedName>
    <definedName name="A" localSheetId="2" hidden="1">#REF!</definedName>
    <definedName name="A" hidden="1">#REF!</definedName>
    <definedName name="aa" localSheetId="2">#REF!</definedName>
    <definedName name="aa">#REF!</definedName>
    <definedName name="aaa" localSheetId="2">#REF!</definedName>
    <definedName name="aaa">#REF!</definedName>
    <definedName name="aaaa" localSheetId="2">#REF!</definedName>
    <definedName name="aaaa">#REF!</definedName>
    <definedName name="ACTEA" localSheetId="2">#REF!</definedName>
    <definedName name="ACTEA">#REF!</definedName>
    <definedName name="afb" localSheetId="2">#REF!</definedName>
    <definedName name="afb">#REF!</definedName>
    <definedName name="ahdfla" localSheetId="2">#REF!</definedName>
    <definedName name="ahdfla">#REF!</definedName>
    <definedName name="ald" localSheetId="2">#REF!</definedName>
    <definedName name="ald">#REF!</definedName>
    <definedName name="alw" localSheetId="2">#REF!</definedName>
    <definedName name="alw">#REF!</definedName>
    <definedName name="atm" localSheetId="2">#REF!</definedName>
    <definedName name="atm">#REF!</definedName>
    <definedName name="Auftragswert" localSheetId="2">#REF!</definedName>
    <definedName name="Auftragswert">#REF!</definedName>
    <definedName name="BSB5_Reinigung_in_BiopurC" localSheetId="2">[1]BALAN1!#REF!</definedName>
    <definedName name="BSB5_Reinigung_in_BiopurC">[1]BALAN1!#REF!</definedName>
    <definedName name="BSB5_Reinigung_in_BiopurN" localSheetId="2">[1]BALAN1!#REF!</definedName>
    <definedName name="BSB5_Reinigung_in_BiopurN">[1]BALAN1!#REF!</definedName>
    <definedName name="BSB5Rückläufekg">[1]BALAN1!$E$15</definedName>
    <definedName name="BSB5vorklkg">[1]BALAN1!$F$15</definedName>
    <definedName name="BSB5vorklmg">[1]BALAN1!$F$16</definedName>
    <definedName name="bwfb" localSheetId="2">#REF!</definedName>
    <definedName name="bwfb">#REF!</definedName>
    <definedName name="bwl" localSheetId="2">#REF!</definedName>
    <definedName name="bwl">#REF!</definedName>
    <definedName name="bwld" localSheetId="2">#REF!</definedName>
    <definedName name="bwld">#REF!</definedName>
    <definedName name="bww" localSheetId="2">#REF!</definedName>
    <definedName name="bww">#REF!</definedName>
    <definedName name="CA" localSheetId="2">#REF!</definedName>
    <definedName name="CA">#REF!</definedName>
    <definedName name="CC" localSheetId="2">#REF!</definedName>
    <definedName name="CC">#REF!</definedName>
    <definedName name="D" localSheetId="2">#REF!</definedName>
    <definedName name="D">#REF!</definedName>
    <definedName name="depr" localSheetId="2">#REF!</definedName>
    <definedName name="depr">#REF!</definedName>
    <definedName name="DS" localSheetId="2">#REF!</definedName>
    <definedName name="DS">#REF!</definedName>
    <definedName name="dwpefb" localSheetId="2">#REF!</definedName>
    <definedName name="dwpefb">#REF!</definedName>
    <definedName name="dwpeld" localSheetId="2">#REF!</definedName>
    <definedName name="dwpeld">#REF!</definedName>
    <definedName name="dwpelw" localSheetId="2">#REF!</definedName>
    <definedName name="dwpelw">#REF!</definedName>
    <definedName name="E" localSheetId="2">#REF!</definedName>
    <definedName name="E">#REF!</definedName>
    <definedName name="Effieciens_Sclammabscheidung">[1]BALAN1!$E$50</definedName>
    <definedName name="Effizienz_Abscheidung_Schlammw_inVK">[1]BALAN1!$E$51</definedName>
    <definedName name="ENTETE" localSheetId="2">#REF!</definedName>
    <definedName name="ENTETE">#REF!</definedName>
    <definedName name="_xlnm.Extract" localSheetId="2">#REF!</definedName>
    <definedName name="_xlnm.Extract">#REF!</definedName>
    <definedName name="FDSDB" localSheetId="2">#REF!</definedName>
    <definedName name="FDSDB">#REF!</definedName>
    <definedName name="Fe_kg_BiopurN">[1]BALAN1!$J$28</definedName>
    <definedName name="Fe_kg_Vorfällung">[1]BALAN1!$F$28</definedName>
    <definedName name="fid" localSheetId="2">#REF!</definedName>
    <definedName name="fid">#REF!</definedName>
    <definedName name="fifb" localSheetId="2">#REF!</definedName>
    <definedName name="fifb">#REF!</definedName>
    <definedName name="fil" localSheetId="2">#REF!</definedName>
    <definedName name="fil">#REF!</definedName>
    <definedName name="fiw" localSheetId="2">#REF!</definedName>
    <definedName name="fiw">#REF!</definedName>
    <definedName name="fl" localSheetId="2">#REF!</definedName>
    <definedName name="fl">#REF!</definedName>
    <definedName name="fld" localSheetId="2">#REF!</definedName>
    <definedName name="fld">#REF!</definedName>
    <definedName name="flg" localSheetId="2">#REF!</definedName>
    <definedName name="flg">#REF!</definedName>
    <definedName name="fm" localSheetId="2">#REF!</definedName>
    <definedName name="fm">#REF!</definedName>
    <definedName name="fmld" localSheetId="2">#REF!</definedName>
    <definedName name="fmld">#REF!</definedName>
    <definedName name="fw" localSheetId="2">#REF!</definedName>
    <definedName name="fw">#REF!</definedName>
    <definedName name="fwfb" localSheetId="2">#REF!</definedName>
    <definedName name="fwfb">#REF!</definedName>
    <definedName name="fwl" localSheetId="2">#REF!</definedName>
    <definedName name="fwl">#REF!</definedName>
    <definedName name="fwld" localSheetId="2">#REF!</definedName>
    <definedName name="fwld">#REF!</definedName>
    <definedName name="fwrfb" localSheetId="2">#REF!</definedName>
    <definedName name="fwrfb">#REF!</definedName>
    <definedName name="fwrl" localSheetId="2">#REF!</definedName>
    <definedName name="fwrl">#REF!</definedName>
    <definedName name="fwrld" localSheetId="2">#REF!</definedName>
    <definedName name="fwrld">#REF!</definedName>
    <definedName name="fwrw" localSheetId="2">#REF!</definedName>
    <definedName name="fwrw">#REF!</definedName>
    <definedName name="fwsfb" localSheetId="2">#REF!</definedName>
    <definedName name="fwsfb">#REF!</definedName>
    <definedName name="fwsl" localSheetId="2">#REF!</definedName>
    <definedName name="fwsl">#REF!</definedName>
    <definedName name="fwsld" localSheetId="2">#REF!</definedName>
    <definedName name="fwsld">#REF!</definedName>
    <definedName name="fwsw" localSheetId="2">#REF!</definedName>
    <definedName name="fwsw">#REF!</definedName>
    <definedName name="fww" localSheetId="2">#REF!</definedName>
    <definedName name="fww">#REF!</definedName>
    <definedName name="G" localSheetId="2">#REF!</definedName>
    <definedName name="G">#REF!</definedName>
    <definedName name="Geschäftsbereich" localSheetId="2">#REF!</definedName>
    <definedName name="Geschäftsbereich">#REF!</definedName>
    <definedName name="H" localSheetId="2">#REF!</definedName>
    <definedName name="H">#REF!</definedName>
    <definedName name="Konsortialanteil" localSheetId="2">#REF!</definedName>
    <definedName name="Konsortialanteil">#REF!</definedName>
    <definedName name="L" localSheetId="2">#REF!</definedName>
    <definedName name="L">#REF!</definedName>
    <definedName name="lfb" localSheetId="2">#REF!</definedName>
    <definedName name="lfb">#REF!</definedName>
    <definedName name="lld" localSheetId="2">#REF!</definedName>
    <definedName name="lld">#REF!</definedName>
    <definedName name="llw" localSheetId="2">#REF!</definedName>
    <definedName name="llw">#REF!</definedName>
    <definedName name="mbpt" localSheetId="2">#REF!</definedName>
    <definedName name="mbpt">#REF!</definedName>
    <definedName name="MMN" localSheetId="2">#REF!</definedName>
    <definedName name="MMN">#REF!</definedName>
    <definedName name="NH4Rückläufekg">[1]BALAN1!$E$19</definedName>
    <definedName name="NH4vorklkg">[1]BALAN1!$F$19</definedName>
    <definedName name="NH4vorklmg">[1]BALAN1!$F$20</definedName>
    <definedName name="NO3vorklkg">[1]BALAN1!$F$21</definedName>
    <definedName name="NO3vorklmg">[1]BALAN1!$F$22</definedName>
    <definedName name="OrgNvorklkg">[1]BALAN1!$F$23</definedName>
    <definedName name="OrgNvorklmg">[1]BALAN1!$F$24</definedName>
    <definedName name="P" localSheetId="2">#REF!</definedName>
    <definedName name="P">#REF!</definedName>
    <definedName name="P_reinigung_in_BiopurN" localSheetId="2">[1]BALAN1!#REF!</definedName>
    <definedName name="P_reinigung_in_BiopurN">[1]BALAN1!#REF!</definedName>
    <definedName name="P_reinigung_in_Filter" localSheetId="2">[1]BALAN1!#REF!</definedName>
    <definedName name="P_reinigung_in_Filter">[1]BALAN1!#REF!</definedName>
    <definedName name="pbpt" localSheetId="2">#REF!</definedName>
    <definedName name="pbpt">#REF!</definedName>
    <definedName name="pefb" localSheetId="2">#REF!</definedName>
    <definedName name="pefb">#REF!</definedName>
    <definedName name="peld" localSheetId="2">#REF!</definedName>
    <definedName name="peld">#REF!</definedName>
    <definedName name="pelw" localSheetId="2">#REF!</definedName>
    <definedName name="pelw">#REF!</definedName>
    <definedName name="Perf_Garantee" localSheetId="2">#REF!</definedName>
    <definedName name="Perf_Garantee">#REF!</definedName>
    <definedName name="pftw" localSheetId="2">#REF!</definedName>
    <definedName name="pftw">#REF!</definedName>
    <definedName name="_xlnm.Print_Area" localSheetId="0">'AI - INST'!$A$1:$O$36</definedName>
    <definedName name="_xlnm.Print_Area" localSheetId="2">'XV VALVE'!$A$1:$V$62</definedName>
    <definedName name="Project" localSheetId="2">#REF!</definedName>
    <definedName name="Project">#REF!</definedName>
    <definedName name="Project_title" localSheetId="2">#REF!</definedName>
    <definedName name="Project_title">#REF!</definedName>
    <definedName name="PRückläufekg">[1]BALAN1!$E$25</definedName>
    <definedName name="Pvorklkg">[1]BALAN1!$F$25</definedName>
    <definedName name="Pvorklmg">[1]BALAN1!$F$26</definedName>
    <definedName name="q" localSheetId="2">#REF!</definedName>
    <definedName name="q">#REF!</definedName>
    <definedName name="Qmaxvorkl">[1]BALAN1!$F$11</definedName>
    <definedName name="Qmittelvorkl">[1]BALAN1!$F$10</definedName>
    <definedName name="qq" localSheetId="2">#REF!</definedName>
    <definedName name="qq">#REF!</definedName>
    <definedName name="qqqq" localSheetId="2">#REF!</definedName>
    <definedName name="qqqq">#REF!</definedName>
    <definedName name="qqqqqqqqqqqqq" localSheetId="2">#REF!</definedName>
    <definedName name="qqqqqqqqqqqqq">#REF!</definedName>
    <definedName name="QrezirkRegenw.">[1]BALAN1!$H$11</definedName>
    <definedName name="QrezirkTrockenw.">[1]BALAN1!$H$10</definedName>
    <definedName name="QRückläufe">[1]BALAN1!$E$10</definedName>
    <definedName name="QSchlamwasser_Dauer">[1]BALAN1!$E$54</definedName>
    <definedName name="Revision" localSheetId="2">#REF!</definedName>
    <definedName name="Revision">#REF!</definedName>
    <definedName name="satz1" localSheetId="2">'[2]7 Other Costs'!#REF!</definedName>
    <definedName name="satz1">'[2]7 Other Costs'!#REF!</definedName>
    <definedName name="satz2" localSheetId="2">'[2]7 Other Costs'!#REF!</definedName>
    <definedName name="satz2">'[2]7 Other Costs'!#REF!</definedName>
    <definedName name="scfb" localSheetId="2">#REF!</definedName>
    <definedName name="scfb">#REF!</definedName>
    <definedName name="scl" localSheetId="2">#REF!</definedName>
    <definedName name="scl">#REF!</definedName>
    <definedName name="scld" localSheetId="2">#REF!</definedName>
    <definedName name="scld">#REF!</definedName>
    <definedName name="scw" localSheetId="2">#REF!</definedName>
    <definedName name="scw">#REF!</definedName>
    <definedName name="sd" localSheetId="2">#REF!</definedName>
    <definedName name="sd">#REF!</definedName>
    <definedName name="se" localSheetId="2">#REF!</definedName>
    <definedName name="se">#REF!</definedName>
    <definedName name="Serial" localSheetId="2">#REF!</definedName>
    <definedName name="Serial">#REF!</definedName>
    <definedName name="sg" localSheetId="2">#REF!</definedName>
    <definedName name="sg">#REF!</definedName>
    <definedName name="sheet" localSheetId="2">'[3]Legal Risk Analysis'!#REF!</definedName>
    <definedName name="sheet">'[3]Legal Risk Analysis'!#REF!</definedName>
    <definedName name="SHEET1" localSheetId="2">'[4]Legal Risk Analysis'!#REF!</definedName>
    <definedName name="SHEET1">'[4]Legal Risk Analysis'!#REF!</definedName>
    <definedName name="SPP" localSheetId="2">#REF!</definedName>
    <definedName name="SPP">#REF!</definedName>
    <definedName name="Spülfreqenz_Filter" localSheetId="2">[1]BALAN1!#REF!</definedName>
    <definedName name="Spülfreqenz_Filter">[1]BALAN1!#REF!</definedName>
    <definedName name="SS_Reinigung_in_BiopurC" localSheetId="2">[1]BALAN1!#REF!</definedName>
    <definedName name="SS_Reinigung_in_BiopurC">[1]BALAN1!#REF!</definedName>
    <definedName name="SS_reinigung_in_BiopurN" localSheetId="2">[1]BALAN1!#REF!</definedName>
    <definedName name="SS_reinigung_in_BiopurN">[1]BALAN1!#REF!</definedName>
    <definedName name="SS_Reinigung_in_Filter" localSheetId="2">[1]BALAN1!#REF!</definedName>
    <definedName name="SS_Reinigung_in_Filter">[1]BALAN1!#REF!</definedName>
    <definedName name="SSRückläufekg">[1]BALAN1!$E$13</definedName>
    <definedName name="SSvorklkg">[1]BALAN1!$F$13</definedName>
    <definedName name="SSvorklmg">[1]BALAN1!$F$14</definedName>
    <definedName name="st" localSheetId="2">#REF!</definedName>
    <definedName name="st">#REF!</definedName>
    <definedName name="Streitwert" localSheetId="2">'[5]Legal Risk Analysis'!#REF!</definedName>
    <definedName name="Streitwert">'[5]Legal Risk Analysis'!#REF!</definedName>
    <definedName name="studext" localSheetId="2">#REF!</definedName>
    <definedName name="studext">#REF!</definedName>
    <definedName name="Sy" localSheetId="2">#REF!</definedName>
    <definedName name="Sy">#REF!</definedName>
    <definedName name="t" localSheetId="2">#REF!</definedName>
    <definedName name="t">#REF!</definedName>
    <definedName name="temp" localSheetId="2">#REF!</definedName>
    <definedName name="temp">#REF!</definedName>
    <definedName name="TotNvorklkg">[1]BALAN1!$F$17</definedName>
    <definedName name="TotNvorklmg">[1]BALAN1!$F$18</definedName>
    <definedName name="TPR" localSheetId="2">#REF!</definedName>
    <definedName name="TPR">#REF!</definedName>
    <definedName name="ts" localSheetId="2">#REF!</definedName>
    <definedName name="ts">#REF!</definedName>
    <definedName name="tsfb" localSheetId="2">#REF!</definedName>
    <definedName name="tsfb">#REF!</definedName>
    <definedName name="tsl" localSheetId="2">#REF!</definedName>
    <definedName name="tsl">#REF!</definedName>
    <definedName name="tsswd" localSheetId="2">#REF!</definedName>
    <definedName name="tsswd">#REF!</definedName>
    <definedName name="tsw" localSheetId="2">#REF!</definedName>
    <definedName name="tsw">#REF!</definedName>
    <definedName name="VV" localSheetId="2">#REF!</definedName>
    <definedName name="VV">#REF!</definedName>
    <definedName name="Vz" localSheetId="2">#REF!</definedName>
    <definedName name="Vz">#REF!</definedName>
    <definedName name="W" localSheetId="2">#REF!</definedName>
    <definedName name="W">#REF!</definedName>
    <definedName name="wrn.Equipment._.List." localSheetId="1" hidden="1">{#N/A,#N/A,TRUE,"COVERSHEET";#N/A,#N/A,TRUE,"LEGEND";#N/A,#N/A,TRUE,"LIST"}</definedName>
    <definedName name="wrn.Equipment._.List." localSheetId="2" hidden="1">{#N/A,#N/A,TRUE,"COVERSHEET";#N/A,#N/A,TRUE,"LEGEND";#N/A,#N/A,TRUE,"LIST"}</definedName>
    <definedName name="wrn.Equipment._.List." hidden="1">{#N/A,#N/A,TRUE,"COVERSHEET";#N/A,#N/A,TRUE,"LEGEND";#N/A,#N/A,TRUE,"LIST"}</definedName>
    <definedName name="X_CQuelleBiopurC">[1]BALAN1!$I$27</definedName>
    <definedName name="xx" localSheetId="2">#REF!</definedName>
    <definedName name="xx">#REF!</definedName>
    <definedName name="ys" localSheetId="2">#REF!</definedName>
    <definedName name="ys">#REF!</definedName>
    <definedName name="Zins_Garantee" localSheetId="2">#REF!</definedName>
    <definedName name="Zins_Garantee">#REF!</definedName>
    <definedName name="Zins_Monat" localSheetId="2">#REF!</definedName>
    <definedName name="Zins_Monat">#REF!</definedName>
    <definedName name="Zinz_ÖKB" localSheetId="2">#REF!</definedName>
    <definedName name="Zinz_ÖKB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1" l="1"/>
  <c r="D20" i="5" l="1"/>
  <c r="Y12" i="5"/>
  <c r="B8" i="5"/>
  <c r="D8" i="5" s="1"/>
  <c r="M8" i="1" l="1"/>
  <c r="A3" i="1"/>
  <c r="A2" i="1"/>
  <c r="G9" i="1"/>
  <c r="G8" i="1"/>
  <c r="B8" i="1"/>
  <c r="D8" i="1" s="1"/>
  <c r="H10" i="1"/>
  <c r="H9" i="1"/>
  <c r="N11" i="1"/>
  <c r="N10" i="1"/>
  <c r="M6" i="1"/>
  <c r="Y8" i="1"/>
  <c r="V8" i="1"/>
  <c r="G10" i="1" s="1"/>
  <c r="T33" i="2"/>
  <c r="O33" i="1"/>
  <c r="M24" i="2"/>
  <c r="G24" i="2"/>
  <c r="G25" i="2" s="1"/>
  <c r="M13" i="2"/>
  <c r="G13" i="2"/>
  <c r="G14" i="2" s="1"/>
  <c r="J8" i="1" l="1"/>
  <c r="W8" i="1"/>
  <c r="G11" i="1" s="1"/>
</calcChain>
</file>

<file path=xl/sharedStrings.xml><?xml version="1.0" encoding="utf-8"?>
<sst xmlns="http://schemas.openxmlformats.org/spreadsheetml/2006/main" count="219" uniqueCount="143">
  <si>
    <t>FIELD</t>
  </si>
  <si>
    <t xml:space="preserve">CONTROL ROOM </t>
  </si>
  <si>
    <t>MARSHALLING CABINET</t>
  </si>
  <si>
    <t>SYSTEM CABINET</t>
  </si>
  <si>
    <t>FIELD DEVICE</t>
  </si>
  <si>
    <t>JUNCTION BOX</t>
  </si>
  <si>
    <t>6816-DMC-B51</t>
  </si>
  <si>
    <t>6816-DSC-B01</t>
  </si>
  <si>
    <t>T137 AI 16 201</t>
  </si>
  <si>
    <t xml:space="preserve">Tag: </t>
  </si>
  <si>
    <t>+</t>
  </si>
  <si>
    <t>X1</t>
  </si>
  <si>
    <t>-</t>
  </si>
  <si>
    <t>SG-BUS</t>
  </si>
  <si>
    <t>NOTES:</t>
  </si>
  <si>
    <t>REV</t>
  </si>
  <si>
    <t>Sheet</t>
  </si>
  <si>
    <t>LOOP NAME: 6816-L-3023</t>
  </si>
  <si>
    <t>6816-DJB-105</t>
  </si>
  <si>
    <t>XT704d7</t>
  </si>
  <si>
    <t>XT704d7, XT1</t>
  </si>
  <si>
    <t>AI704d7 - AI 08 022</t>
  </si>
  <si>
    <t>Slot: 7</t>
  </si>
  <si>
    <t>Crate: 4</t>
  </si>
  <si>
    <t>6816-LV-3023</t>
  </si>
  <si>
    <t>6816-LZI-3023</t>
  </si>
  <si>
    <t>Channel: 6</t>
  </si>
  <si>
    <t>T225 AO 08 261</t>
  </si>
  <si>
    <t>6816-IC-3023</t>
  </si>
  <si>
    <t>XT704d9</t>
  </si>
  <si>
    <t>XT704d9, XT1</t>
  </si>
  <si>
    <t>AI704d9 - AO704d9</t>
  </si>
  <si>
    <t>Slot: 9</t>
  </si>
  <si>
    <t>T237 DO 32 241</t>
  </si>
  <si>
    <t>1+</t>
  </si>
  <si>
    <t>2-</t>
  </si>
  <si>
    <t>3+</t>
  </si>
  <si>
    <t>4-</t>
  </si>
  <si>
    <t>Slot: 6</t>
  </si>
  <si>
    <t>Slot: 8</t>
  </si>
  <si>
    <t>DOC NUMBER XXXX</t>
  </si>
  <si>
    <t>XX</t>
  </si>
  <si>
    <t xml:space="preserve">Channel: </t>
  </si>
  <si>
    <t xml:space="preserve">Slot: </t>
  </si>
  <si>
    <t>JB No.</t>
  </si>
  <si>
    <t>JB Pr1</t>
  </si>
  <si>
    <t>JB Pr2</t>
  </si>
  <si>
    <t>JB TB1</t>
  </si>
  <si>
    <t>JB TB2</t>
  </si>
  <si>
    <t>JB TB3</t>
  </si>
  <si>
    <t>Slot</t>
  </si>
  <si>
    <t>Channel</t>
  </si>
  <si>
    <t>Crate</t>
  </si>
  <si>
    <t>[s]</t>
  </si>
  <si>
    <t>[BK]</t>
  </si>
  <si>
    <t>[WH]</t>
  </si>
  <si>
    <t xml:space="preserve">Loop number </t>
  </si>
  <si>
    <t>IO TYPE</t>
  </si>
  <si>
    <t>LOOP NAME /НАЗВАНИЕ ПЕТЛИ:6801-XV-8029</t>
  </si>
  <si>
    <t>FIELD/ПОЛЕ</t>
  </si>
  <si>
    <t xml:space="preserve">CONTROL ROOM/КОНТРОЛЬНАЯ КОМНАТА </t>
  </si>
  <si>
    <t>SYSTEM CABINET/ПЕРЕКРЕСТНЫЙ ШКАФ</t>
  </si>
  <si>
    <t>FIELD DEVICE/ПОЛЕВОЕ УСТРОЙСТВО</t>
  </si>
  <si>
    <t>JUNCTION BOX/РАСПРЕДЕЛИТЕЛЬНАЯ КОРОБКА</t>
  </si>
  <si>
    <t>6800-DMC-B60</t>
  </si>
  <si>
    <t>6800-DSC-B03</t>
  </si>
  <si>
    <t xml:space="preserve">Tag/Ярлык: </t>
  </si>
  <si>
    <t>[BK 1]</t>
  </si>
  <si>
    <t>6801-DJB-302</t>
  </si>
  <si>
    <t>6801-DJB-302/6800-DMC-B60</t>
  </si>
  <si>
    <t>XT208d8</t>
  </si>
  <si>
    <t>T208d8 , XT1</t>
  </si>
  <si>
    <t>6800-DMC-B60-T208d8/6800-DSC-B03-DO208d8</t>
  </si>
  <si>
    <t>DO208d8 - DO 32 012</t>
  </si>
  <si>
    <t>Channel:  22</t>
  </si>
  <si>
    <t>[BK 2]</t>
  </si>
  <si>
    <t>[BK 3]</t>
  </si>
  <si>
    <t>Crate:  8</t>
  </si>
  <si>
    <t>PE [GN/YE]</t>
  </si>
  <si>
    <t>SG</t>
  </si>
  <si>
    <t>XZS</t>
  </si>
  <si>
    <t>6800-DMC-B03</t>
  </si>
  <si>
    <t>6800-DSC-B02</t>
  </si>
  <si>
    <t>T237 DI 16 231</t>
  </si>
  <si>
    <t xml:space="preserve">Tag_Number </t>
  </si>
  <si>
    <t>Loop_Name</t>
  </si>
  <si>
    <t>JB tag number</t>
  </si>
  <si>
    <t>Pair_Num</t>
  </si>
  <si>
    <t>Marsh_CabInet</t>
  </si>
  <si>
    <t>Term_Block1</t>
  </si>
  <si>
    <t>Term1</t>
  </si>
  <si>
    <t>Term_Block2</t>
  </si>
  <si>
    <t>Term2</t>
  </si>
  <si>
    <t>FTA_model</t>
  </si>
  <si>
    <t>FTA_Tag</t>
  </si>
  <si>
    <t>FTA_In1</t>
  </si>
  <si>
    <t>FTA_Out1</t>
  </si>
  <si>
    <t>Sys_Cabinet</t>
  </si>
  <si>
    <t>Module_Tag</t>
  </si>
  <si>
    <t>Module_Type</t>
  </si>
  <si>
    <t>6801-XV-8029</t>
  </si>
  <si>
    <t>6801-XZSC-8029/01+                    [BK] Pr 01</t>
  </si>
  <si>
    <t>[BK] Pr 01</t>
  </si>
  <si>
    <t>6802-DJB-243</t>
  </si>
  <si>
    <t>[BK] Pr 11</t>
  </si>
  <si>
    <t>6802-DJB-243/6800-DMC-B03</t>
  </si>
  <si>
    <t>XT203d6</t>
  </si>
  <si>
    <t>T203d6 , X11</t>
  </si>
  <si>
    <t>6800-DMC-B03-T203d6/6800-DSC-B02-DI203d6</t>
  </si>
  <si>
    <t>DI203d6 - DI 32 012</t>
  </si>
  <si>
    <t>6801-XZSC-8029</t>
  </si>
  <si>
    <t>T203d6</t>
  </si>
  <si>
    <t>X11</t>
  </si>
  <si>
    <t>DI203d6</t>
  </si>
  <si>
    <t>DI 32 012</t>
  </si>
  <si>
    <t>Channel:  21</t>
  </si>
  <si>
    <t>6801-XZSO-8029</t>
  </si>
  <si>
    <t>6801-XZSC-8029/02-                    [BK] Pr 01</t>
  </si>
  <si>
    <t>[WH] Pr 01</t>
  </si>
  <si>
    <t>[WH] Pr 11</t>
  </si>
  <si>
    <t>6801-XY-8029</t>
  </si>
  <si>
    <t>T208d8</t>
  </si>
  <si>
    <t>XT1</t>
  </si>
  <si>
    <t>DO208d8</t>
  </si>
  <si>
    <t>DO 32 012</t>
  </si>
  <si>
    <t>6801-XZSO-8029/03+                    [BK] Pr 01</t>
  </si>
  <si>
    <t>[BK] Pr 02</t>
  </si>
  <si>
    <t>[BK] Pr 12</t>
  </si>
  <si>
    <t>Crate:  3</t>
  </si>
  <si>
    <t>6801-XZSO-8029/04-                    [BK] Pr 01</t>
  </si>
  <si>
    <t>[WH] Pr 02</t>
  </si>
  <si>
    <t>[WH] Pr 12</t>
  </si>
  <si>
    <t>Channel:  23</t>
  </si>
  <si>
    <t>NOTES/ПРИМЕЧАНИЯ:</t>
  </si>
  <si>
    <t xml:space="preserve">AGCC.979-0000-2014803-D14-0009                  </t>
  </si>
  <si>
    <t>REV/РЕВ</t>
  </si>
  <si>
    <t>Sheet/Лист</t>
  </si>
  <si>
    <t>Tag Number</t>
  </si>
  <si>
    <t>Module No</t>
  </si>
  <si>
    <t>Terminal Strip number</t>
  </si>
  <si>
    <t>Channel
 No</t>
  </si>
  <si>
    <t xml:space="preserve">Rack / Node </t>
  </si>
  <si>
    <t xml:space="preserve">Rack: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</si>
</sst>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17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0" fillId="0" borderId="0" xfId="0" applyBorder="1" applyAlignment="1">
      <alignment horizontal="right"/>
    </xf>
    <xf numFmtId="0" fontId="0" fillId="0" borderId="9" xfId="0" quotePrefix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Fill="1" applyBorder="1"/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2" borderId="1" xfId="0" applyFill="1" applyBorder="1"/>
    <xf numFmtId="0" fontId="3" fillId="2" borderId="9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/>
    <xf numFmtId="0" fontId="1" fillId="2" borderId="0" xfId="0" quotePrefix="1" applyFont="1" applyFill="1" applyBorder="1"/>
    <xf numFmtId="0" fontId="0" fillId="0" borderId="9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1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top"/>
    </xf>
    <xf numFmtId="0" fontId="0" fillId="0" borderId="9" xfId="0" applyBorder="1" applyAlignment="1">
      <alignment horizontal="center" vertical="center" wrapText="1"/>
    </xf>
    <xf numFmtId="0" fontId="0" fillId="0" borderId="5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4" xfId="0" applyFill="1" applyBorder="1"/>
    <xf numFmtId="0" fontId="0" fillId="0" borderId="3" xfId="0" applyFill="1" applyBorder="1"/>
    <xf numFmtId="0" fontId="0" fillId="0" borderId="0" xfId="0" applyFill="1" applyAlignment="1">
      <alignment horizontal="center"/>
    </xf>
    <xf numFmtId="0" fontId="1" fillId="0" borderId="1" xfId="0" applyFont="1" applyFill="1" applyBorder="1"/>
    <xf numFmtId="0" fontId="0" fillId="0" borderId="6" xfId="0" applyFill="1" applyBorder="1"/>
    <xf numFmtId="0" fontId="1" fillId="0" borderId="7" xfId="0" applyFont="1" applyFill="1" applyBorder="1" applyAlignment="1">
      <alignment horizontal="center"/>
    </xf>
    <xf numFmtId="0" fontId="0" fillId="0" borderId="7" xfId="0" applyFill="1" applyBorder="1"/>
    <xf numFmtId="0" fontId="1" fillId="0" borderId="7" xfId="0" applyFont="1" applyFill="1" applyBorder="1"/>
    <xf numFmtId="0" fontId="0" fillId="0" borderId="8" xfId="0" applyFill="1" applyBorder="1"/>
    <xf numFmtId="0" fontId="5" fillId="0" borderId="24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24" xfId="0" quotePrefix="1" applyFont="1" applyFill="1" applyBorder="1" applyAlignment="1" applyProtection="1">
      <alignment horizontal="center"/>
      <protection locked="0"/>
    </xf>
    <xf numFmtId="0" fontId="5" fillId="0" borderId="24" xfId="0" applyFont="1" applyFill="1" applyBorder="1" applyAlignment="1">
      <alignment horizontal="center" vertical="center"/>
    </xf>
    <xf numFmtId="0" fontId="0" fillId="0" borderId="24" xfId="0" applyFill="1" applyBorder="1"/>
    <xf numFmtId="0" fontId="0" fillId="0" borderId="9" xfId="0" quotePrefix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/>
    <xf numFmtId="0" fontId="5" fillId="0" borderId="24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vertical="top"/>
    </xf>
    <xf numFmtId="0" fontId="0" fillId="0" borderId="11" xfId="0" applyFill="1" applyBorder="1"/>
    <xf numFmtId="0" fontId="0" fillId="0" borderId="12" xfId="0" applyFill="1" applyBorder="1"/>
    <xf numFmtId="0" fontId="3" fillId="0" borderId="9" xfId="0" applyFont="1" applyFill="1" applyBorder="1" applyAlignment="1">
      <alignment horizontal="center" vertical="center"/>
    </xf>
    <xf numFmtId="0" fontId="3" fillId="0" borderId="0" xfId="0" applyFont="1" applyFill="1"/>
    <xf numFmtId="0" fontId="7" fillId="0" borderId="0" xfId="0" applyFont="1" applyFill="1" applyAlignment="1">
      <alignment horizontal="center"/>
    </xf>
    <xf numFmtId="0" fontId="4" fillId="3" borderId="17" xfId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0" fillId="0" borderId="4" xfId="0" applyFill="1" applyBorder="1" applyAlignment="1">
      <alignment wrapText="1"/>
    </xf>
    <xf numFmtId="0" fontId="0" fillId="0" borderId="0" xfId="0" applyAlignment="1">
      <alignment wrapText="1"/>
    </xf>
    <xf numFmtId="0" fontId="5" fillId="4" borderId="24" xfId="0" applyFont="1" applyFill="1" applyBorder="1" applyAlignment="1">
      <alignment horizontal="center" vertical="center"/>
    </xf>
    <xf numFmtId="0" fontId="10" fillId="0" borderId="0" xfId="0" applyFont="1" applyFill="1"/>
    <xf numFmtId="0" fontId="9" fillId="0" borderId="0" xfId="0" applyFon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49" fontId="0" fillId="0" borderId="3" xfId="0" applyNumberFormat="1" applyFill="1" applyBorder="1"/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4" xfId="0" applyNumberFormat="1" applyFill="1" applyBorder="1"/>
    <xf numFmtId="49" fontId="0" fillId="0" borderId="0" xfId="0" applyNumberFormat="1"/>
    <xf numFmtId="49" fontId="2" fillId="0" borderId="3" xfId="0" applyNumberFormat="1" applyFont="1" applyFill="1" applyBorder="1"/>
    <xf numFmtId="49" fontId="0" fillId="0" borderId="5" xfId="0" applyNumberFormat="1" applyFill="1" applyBorder="1" applyAlignment="1">
      <alignment vertical="top"/>
    </xf>
    <xf numFmtId="49" fontId="0" fillId="0" borderId="1" xfId="0" applyNumberFormat="1" applyFill="1" applyBorder="1" applyAlignment="1">
      <alignment horizontal="center" vertical="top" wrapText="1"/>
    </xf>
    <xf numFmtId="49" fontId="0" fillId="0" borderId="1" xfId="0" applyNumberForma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vertical="top" wrapText="1"/>
    </xf>
    <xf numFmtId="49" fontId="1" fillId="0" borderId="1" xfId="0" applyNumberFormat="1" applyFont="1" applyFill="1" applyBorder="1" applyAlignment="1">
      <alignment wrapText="1"/>
    </xf>
    <xf numFmtId="49" fontId="1" fillId="0" borderId="2" xfId="0" applyNumberFormat="1" applyFont="1" applyFill="1" applyBorder="1" applyAlignment="1">
      <alignment wrapText="1"/>
    </xf>
    <xf numFmtId="49" fontId="1" fillId="0" borderId="14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vertical="top" wrapText="1"/>
    </xf>
    <xf numFmtId="49" fontId="0" fillId="0" borderId="0" xfId="0" applyNumberFormat="1" applyFill="1" applyAlignment="1">
      <alignment horizontal="center" vertical="top" wrapText="1"/>
    </xf>
    <xf numFmtId="49" fontId="0" fillId="0" borderId="0" xfId="0" applyNumberFormat="1" applyFill="1" applyAlignment="1">
      <alignment vertical="top" wrapText="1"/>
    </xf>
    <xf numFmtId="49" fontId="1" fillId="0" borderId="0" xfId="0" applyNumberFormat="1" applyFont="1" applyFill="1" applyAlignment="1">
      <alignment vertical="top" wrapText="1"/>
    </xf>
    <xf numFmtId="49" fontId="1" fillId="0" borderId="0" xfId="0" applyNumberFormat="1" applyFont="1" applyFill="1" applyAlignment="1">
      <alignment wrapText="1"/>
    </xf>
    <xf numFmtId="49" fontId="1" fillId="0" borderId="4" xfId="0" applyNumberFormat="1" applyFont="1" applyFill="1" applyBorder="1" applyAlignment="1">
      <alignment wrapText="1"/>
    </xf>
    <xf numFmtId="49" fontId="0" fillId="0" borderId="6" xfId="0" applyNumberFormat="1" applyFill="1" applyBorder="1" applyAlignment="1">
      <alignment vertical="top" wrapText="1"/>
    </xf>
    <xf numFmtId="49" fontId="0" fillId="0" borderId="7" xfId="0" applyNumberFormat="1" applyFill="1" applyBorder="1" applyAlignment="1">
      <alignment horizontal="center" vertical="top" wrapText="1"/>
    </xf>
    <xf numFmtId="49" fontId="0" fillId="0" borderId="7" xfId="0" applyNumberFormat="1" applyFill="1" applyBorder="1" applyAlignment="1">
      <alignment vertical="top" wrapText="1"/>
    </xf>
    <xf numFmtId="49" fontId="1" fillId="0" borderId="7" xfId="0" applyNumberFormat="1" applyFont="1" applyFill="1" applyBorder="1" applyAlignment="1">
      <alignment vertical="top" wrapText="1"/>
    </xf>
    <xf numFmtId="49" fontId="1" fillId="0" borderId="7" xfId="0" applyNumberFormat="1" applyFont="1" applyFill="1" applyBorder="1" applyAlignment="1">
      <alignment wrapText="1"/>
    </xf>
    <xf numFmtId="49" fontId="1" fillId="0" borderId="8" xfId="0" applyNumberFormat="1" applyFont="1" applyFill="1" applyBorder="1" applyAlignment="1">
      <alignment wrapText="1"/>
    </xf>
    <xf numFmtId="49" fontId="0" fillId="0" borderId="0" xfId="0" applyNumberFormat="1" applyAlignment="1">
      <alignment horizontal="center"/>
    </xf>
    <xf numFmtId="49" fontId="0" fillId="2" borderId="0" xfId="0" applyNumberFormat="1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21" xfId="0" applyNumberFormat="1" applyFont="1" applyFill="1" applyBorder="1" applyAlignment="1">
      <alignment horizontal="center" vertical="center"/>
    </xf>
    <xf numFmtId="164" fontId="0" fillId="0" borderId="17" xfId="0" applyNumberFormat="1" applyFill="1" applyBorder="1" applyAlignment="1">
      <alignment horizontal="center" vertical="center"/>
    </xf>
    <xf numFmtId="49" fontId="0" fillId="0" borderId="19" xfId="0" applyNumberFormat="1" applyFill="1" applyBorder="1" applyAlignment="1">
      <alignment horizontal="center" vertical="center"/>
    </xf>
    <xf numFmtId="49" fontId="0" fillId="0" borderId="22" xfId="0" applyNumberForma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49" fontId="0" fillId="0" borderId="20" xfId="0" applyNumberFormat="1" applyFill="1" applyBorder="1" applyAlignment="1">
      <alignment horizontal="center" vertical="center"/>
    </xf>
    <xf numFmtId="49" fontId="0" fillId="0" borderId="23" xfId="0" applyNumberForma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</cellXfs>
  <cellStyles count="2">
    <cellStyle name="Normal" xfId="0" builtinId="0"/>
    <cellStyle name="Normal 285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3024</xdr:colOff>
      <xdr:row>8</xdr:row>
      <xdr:rowOff>128600</xdr:rowOff>
    </xdr:from>
    <xdr:to>
      <xdr:col>5</xdr:col>
      <xdr:colOff>597776</xdr:colOff>
      <xdr:row>8</xdr:row>
      <xdr:rowOff>137934</xdr:rowOff>
    </xdr:to>
    <xdr:cxnSp macro="">
      <xdr:nvCxnSpPr>
        <xdr:cNvPr id="5" name="Straight Connector 4"/>
        <xdr:cNvCxnSpPr/>
      </xdr:nvCxnSpPr>
      <xdr:spPr>
        <a:xfrm flipV="1">
          <a:off x="1570986" y="1681908"/>
          <a:ext cx="2807482" cy="933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585788</xdr:colOff>
      <xdr:row>8</xdr:row>
      <xdr:rowOff>135246</xdr:rowOff>
    </xdr:from>
    <xdr:to>
      <xdr:col>2</xdr:col>
      <xdr:colOff>585788</xdr:colOff>
      <xdr:row>9</xdr:row>
      <xdr:rowOff>164224</xdr:rowOff>
    </xdr:to>
    <xdr:cxnSp macro="">
      <xdr:nvCxnSpPr>
        <xdr:cNvPr id="6" name="Straight Connector 5"/>
        <xdr:cNvCxnSpPr/>
      </xdr:nvCxnSpPr>
      <xdr:spPr>
        <a:xfrm flipV="1">
          <a:off x="2155771" y="1685522"/>
          <a:ext cx="0" cy="22604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3512</xdr:colOff>
      <xdr:row>9</xdr:row>
      <xdr:rowOff>162203</xdr:rowOff>
    </xdr:from>
    <xdr:to>
      <xdr:col>2</xdr:col>
      <xdr:colOff>584637</xdr:colOff>
      <xdr:row>9</xdr:row>
      <xdr:rowOff>162205</xdr:rowOff>
    </xdr:to>
    <xdr:cxnSp macro="">
      <xdr:nvCxnSpPr>
        <xdr:cNvPr id="7" name="Straight Connector 6"/>
        <xdr:cNvCxnSpPr/>
      </xdr:nvCxnSpPr>
      <xdr:spPr>
        <a:xfrm flipV="1">
          <a:off x="1571474" y="1913338"/>
          <a:ext cx="581125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10164</xdr:colOff>
      <xdr:row>8</xdr:row>
      <xdr:rowOff>137949</xdr:rowOff>
    </xdr:from>
    <xdr:to>
      <xdr:col>5</xdr:col>
      <xdr:colOff>10164</xdr:colOff>
      <xdr:row>9</xdr:row>
      <xdr:rowOff>124810</xdr:rowOff>
    </xdr:to>
    <xdr:cxnSp macro="">
      <xdr:nvCxnSpPr>
        <xdr:cNvPr id="9" name="Straight Connector 8"/>
        <xdr:cNvCxnSpPr/>
      </xdr:nvCxnSpPr>
      <xdr:spPr>
        <a:xfrm flipV="1">
          <a:off x="3793888" y="1688225"/>
          <a:ext cx="0" cy="18393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134596</xdr:rowOff>
    </xdr:from>
    <xdr:to>
      <xdr:col>6</xdr:col>
      <xdr:colOff>2472</xdr:colOff>
      <xdr:row>9</xdr:row>
      <xdr:rowOff>134596</xdr:rowOff>
    </xdr:to>
    <xdr:cxnSp macro="">
      <xdr:nvCxnSpPr>
        <xdr:cNvPr id="10" name="Straight Connector 9"/>
        <xdr:cNvCxnSpPr/>
      </xdr:nvCxnSpPr>
      <xdr:spPr>
        <a:xfrm>
          <a:off x="3783724" y="1881941"/>
          <a:ext cx="61338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885286</xdr:colOff>
      <xdr:row>12</xdr:row>
      <xdr:rowOff>96342</xdr:rowOff>
    </xdr:from>
    <xdr:to>
      <xdr:col>9</xdr:col>
      <xdr:colOff>0</xdr:colOff>
      <xdr:row>12</xdr:row>
      <xdr:rowOff>96342</xdr:rowOff>
    </xdr:to>
    <xdr:cxnSp macro="">
      <xdr:nvCxnSpPr>
        <xdr:cNvPr id="12" name="Straight Connector 11"/>
        <xdr:cNvCxnSpPr/>
      </xdr:nvCxnSpPr>
      <xdr:spPr>
        <a:xfrm>
          <a:off x="4866736" y="2449017"/>
          <a:ext cx="1219739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604425</xdr:colOff>
      <xdr:row>8</xdr:row>
      <xdr:rowOff>144517</xdr:rowOff>
    </xdr:from>
    <xdr:to>
      <xdr:col>8</xdr:col>
      <xdr:colOff>604425</xdr:colOff>
      <xdr:row>12</xdr:row>
      <xdr:rowOff>104776</xdr:rowOff>
    </xdr:to>
    <xdr:cxnSp macro="">
      <xdr:nvCxnSpPr>
        <xdr:cNvPr id="14" name="Straight Connector 13"/>
        <xdr:cNvCxnSpPr/>
      </xdr:nvCxnSpPr>
      <xdr:spPr>
        <a:xfrm flipV="1">
          <a:off x="6325994" y="1694793"/>
          <a:ext cx="0" cy="748535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10</xdr:row>
      <xdr:rowOff>104267</xdr:rowOff>
    </xdr:from>
    <xdr:to>
      <xdr:col>6</xdr:col>
      <xdr:colOff>2772</xdr:colOff>
      <xdr:row>10</xdr:row>
      <xdr:rowOff>104267</xdr:rowOff>
    </xdr:to>
    <xdr:cxnSp macro="">
      <xdr:nvCxnSpPr>
        <xdr:cNvPr id="15" name="Straight Connector 14"/>
        <xdr:cNvCxnSpPr/>
      </xdr:nvCxnSpPr>
      <xdr:spPr>
        <a:xfrm>
          <a:off x="3543300" y="2056892"/>
          <a:ext cx="46949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132725</xdr:rowOff>
    </xdr:from>
    <xdr:to>
      <xdr:col>8</xdr:col>
      <xdr:colOff>204439</xdr:colOff>
      <xdr:row>9</xdr:row>
      <xdr:rowOff>132725</xdr:rowOff>
    </xdr:to>
    <xdr:cxnSp macro="">
      <xdr:nvCxnSpPr>
        <xdr:cNvPr id="19" name="Straight Connector 18"/>
        <xdr:cNvCxnSpPr/>
      </xdr:nvCxnSpPr>
      <xdr:spPr>
        <a:xfrm>
          <a:off x="5052391" y="1888638"/>
          <a:ext cx="88361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8</xdr:row>
      <xdr:rowOff>3810</xdr:rowOff>
    </xdr:from>
    <xdr:to>
      <xdr:col>5</xdr:col>
      <xdr:colOff>179070</xdr:colOff>
      <xdr:row>10</xdr:row>
      <xdr:rowOff>30480</xdr:rowOff>
    </xdr:to>
    <xdr:sp macro="" textlink="">
      <xdr:nvSpPr>
        <xdr:cNvPr id="20" name="Oval 19"/>
        <xdr:cNvSpPr/>
      </xdr:nvSpPr>
      <xdr:spPr>
        <a:xfrm>
          <a:off x="3495675" y="1556385"/>
          <a:ext cx="83820" cy="426720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136865</xdr:colOff>
      <xdr:row>10</xdr:row>
      <xdr:rowOff>19633</xdr:rowOff>
    </xdr:from>
    <xdr:to>
      <xdr:col>5</xdr:col>
      <xdr:colOff>136865</xdr:colOff>
      <xdr:row>10</xdr:row>
      <xdr:rowOff>110490</xdr:rowOff>
    </xdr:to>
    <xdr:cxnSp macro="">
      <xdr:nvCxnSpPr>
        <xdr:cNvPr id="21" name="Straight Connector 20"/>
        <xdr:cNvCxnSpPr/>
      </xdr:nvCxnSpPr>
      <xdr:spPr>
        <a:xfrm flipV="1">
          <a:off x="3537290" y="1972258"/>
          <a:ext cx="0" cy="9085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611</xdr:colOff>
      <xdr:row>10</xdr:row>
      <xdr:rowOff>143681</xdr:rowOff>
    </xdr:from>
    <xdr:to>
      <xdr:col>8</xdr:col>
      <xdr:colOff>69696</xdr:colOff>
      <xdr:row>10</xdr:row>
      <xdr:rowOff>143681</xdr:rowOff>
    </xdr:to>
    <xdr:cxnSp macro="">
      <xdr:nvCxnSpPr>
        <xdr:cNvPr id="22" name="Straight Connector 21"/>
        <xdr:cNvCxnSpPr/>
      </xdr:nvCxnSpPr>
      <xdr:spPr>
        <a:xfrm>
          <a:off x="5045577" y="2088095"/>
          <a:ext cx="74568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59489</xdr:colOff>
      <xdr:row>10</xdr:row>
      <xdr:rowOff>35624</xdr:rowOff>
    </xdr:from>
    <xdr:to>
      <xdr:col>8</xdr:col>
      <xdr:colOff>59489</xdr:colOff>
      <xdr:row>10</xdr:row>
      <xdr:rowOff>151086</xdr:rowOff>
    </xdr:to>
    <xdr:cxnSp macro="">
      <xdr:nvCxnSpPr>
        <xdr:cNvPr id="23" name="Straight Connector 22"/>
        <xdr:cNvCxnSpPr>
          <a:endCxn id="24" idx="4"/>
        </xdr:cNvCxnSpPr>
      </xdr:nvCxnSpPr>
      <xdr:spPr>
        <a:xfrm flipV="1">
          <a:off x="5781058" y="1980038"/>
          <a:ext cx="0" cy="11546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17579</xdr:colOff>
      <xdr:row>8</xdr:row>
      <xdr:rowOff>9687</xdr:rowOff>
    </xdr:from>
    <xdr:to>
      <xdr:col>8</xdr:col>
      <xdr:colOff>101399</xdr:colOff>
      <xdr:row>10</xdr:row>
      <xdr:rowOff>35624</xdr:rowOff>
    </xdr:to>
    <xdr:sp macro="" textlink="">
      <xdr:nvSpPr>
        <xdr:cNvPr id="24" name="Oval 23"/>
        <xdr:cNvSpPr/>
      </xdr:nvSpPr>
      <xdr:spPr>
        <a:xfrm>
          <a:off x="5494454" y="1562262"/>
          <a:ext cx="83820" cy="425987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199094</xdr:colOff>
      <xdr:row>8</xdr:row>
      <xdr:rowOff>144517</xdr:rowOff>
    </xdr:from>
    <xdr:to>
      <xdr:col>8</xdr:col>
      <xdr:colOff>199094</xdr:colOff>
      <xdr:row>9</xdr:row>
      <xdr:rowOff>121996</xdr:rowOff>
    </xdr:to>
    <xdr:cxnSp macro="">
      <xdr:nvCxnSpPr>
        <xdr:cNvPr id="25" name="Straight Connector 24"/>
        <xdr:cNvCxnSpPr/>
      </xdr:nvCxnSpPr>
      <xdr:spPr>
        <a:xfrm flipV="1">
          <a:off x="5920663" y="1694793"/>
          <a:ext cx="0" cy="17454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3175</xdr:colOff>
      <xdr:row>8</xdr:row>
      <xdr:rowOff>144603</xdr:rowOff>
    </xdr:from>
    <xdr:to>
      <xdr:col>12</xdr:col>
      <xdr:colOff>0</xdr:colOff>
      <xdr:row>8</xdr:row>
      <xdr:rowOff>146190</xdr:rowOff>
    </xdr:to>
    <xdr:cxnSp macro="">
      <xdr:nvCxnSpPr>
        <xdr:cNvPr id="26" name="Straight Connector 25"/>
        <xdr:cNvCxnSpPr/>
      </xdr:nvCxnSpPr>
      <xdr:spPr>
        <a:xfrm>
          <a:off x="5055566" y="1701733"/>
          <a:ext cx="3616325" cy="158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475130</xdr:colOff>
      <xdr:row>3</xdr:row>
      <xdr:rowOff>178425</xdr:rowOff>
    </xdr:from>
    <xdr:to>
      <xdr:col>4</xdr:col>
      <xdr:colOff>484112</xdr:colOff>
      <xdr:row>31</xdr:row>
      <xdr:rowOff>8965</xdr:rowOff>
    </xdr:to>
    <xdr:cxnSp macro="">
      <xdr:nvCxnSpPr>
        <xdr:cNvPr id="35" name="Straight Connector 34"/>
        <xdr:cNvCxnSpPr/>
      </xdr:nvCxnSpPr>
      <xdr:spPr>
        <a:xfrm flipH="1">
          <a:off x="3265955" y="749925"/>
          <a:ext cx="8982" cy="525026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312693</xdr:colOff>
      <xdr:row>4</xdr:row>
      <xdr:rowOff>7844</xdr:rowOff>
    </xdr:from>
    <xdr:to>
      <xdr:col>11</xdr:col>
      <xdr:colOff>323287</xdr:colOff>
      <xdr:row>31</xdr:row>
      <xdr:rowOff>7844</xdr:rowOff>
    </xdr:to>
    <xdr:cxnSp macro="">
      <xdr:nvCxnSpPr>
        <xdr:cNvPr id="36" name="Straight Connector 35"/>
        <xdr:cNvCxnSpPr/>
      </xdr:nvCxnSpPr>
      <xdr:spPr>
        <a:xfrm flipH="1">
          <a:off x="8305410" y="778127"/>
          <a:ext cx="10594" cy="521804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10965</xdr:colOff>
      <xdr:row>6</xdr:row>
      <xdr:rowOff>168880</xdr:rowOff>
    </xdr:from>
    <xdr:to>
      <xdr:col>18</xdr:col>
      <xdr:colOff>3134</xdr:colOff>
      <xdr:row>7</xdr:row>
      <xdr:rowOff>0</xdr:rowOff>
    </xdr:to>
    <xdr:sp macro="" textlink="">
      <xdr:nvSpPr>
        <xdr:cNvPr id="2" name="TextBox 1"/>
        <xdr:cNvSpPr txBox="1"/>
      </xdr:nvSpPr>
      <xdr:spPr>
        <a:xfrm>
          <a:off x="10488465" y="1330930"/>
          <a:ext cx="2182919" cy="1773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0"/>
            <a:t>6816-DMC-B51-T704d7/6816-DSC-B01-AI704d7</a:t>
          </a:r>
        </a:p>
      </xdr:txBody>
    </xdr:sp>
    <xdr:clientData/>
  </xdr:twoCellAnchor>
  <xdr:twoCellAnchor>
    <xdr:from>
      <xdr:col>8</xdr:col>
      <xdr:colOff>85397</xdr:colOff>
      <xdr:row>6</xdr:row>
      <xdr:rowOff>148514</xdr:rowOff>
    </xdr:from>
    <xdr:to>
      <xdr:col>10</xdr:col>
      <xdr:colOff>315312</xdr:colOff>
      <xdr:row>7</xdr:row>
      <xdr:rowOff>0</xdr:rowOff>
    </xdr:to>
    <xdr:sp macro="" textlink="">
      <xdr:nvSpPr>
        <xdr:cNvPr id="28" name="TextBox 27"/>
        <xdr:cNvSpPr txBox="1"/>
      </xdr:nvSpPr>
      <xdr:spPr>
        <a:xfrm>
          <a:off x="5571797" y="1310564"/>
          <a:ext cx="1477690" cy="1800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6816-DJB-105/6816-DMC-B51</a:t>
          </a:r>
        </a:p>
      </xdr:txBody>
    </xdr:sp>
    <xdr:clientData/>
  </xdr:twoCellAnchor>
  <xdr:twoCellAnchor>
    <xdr:from>
      <xdr:col>10</xdr:col>
      <xdr:colOff>337595</xdr:colOff>
      <xdr:row>3</xdr:row>
      <xdr:rowOff>183266</xdr:rowOff>
    </xdr:from>
    <xdr:to>
      <xdr:col>10</xdr:col>
      <xdr:colOff>354844</xdr:colOff>
      <xdr:row>30</xdr:row>
      <xdr:rowOff>191162</xdr:rowOff>
    </xdr:to>
    <xdr:cxnSp macro="">
      <xdr:nvCxnSpPr>
        <xdr:cNvPr id="35" name="Straight Connector 34"/>
        <xdr:cNvCxnSpPr/>
      </xdr:nvCxnSpPr>
      <xdr:spPr>
        <a:xfrm>
          <a:off x="7071770" y="754766"/>
          <a:ext cx="17249" cy="610389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10965</xdr:colOff>
      <xdr:row>9</xdr:row>
      <xdr:rowOff>168880</xdr:rowOff>
    </xdr:from>
    <xdr:to>
      <xdr:col>18</xdr:col>
      <xdr:colOff>3134</xdr:colOff>
      <xdr:row>10</xdr:row>
      <xdr:rowOff>155722</xdr:rowOff>
    </xdr:to>
    <xdr:sp macro="" textlink="">
      <xdr:nvSpPr>
        <xdr:cNvPr id="36" name="TextBox 35"/>
        <xdr:cNvSpPr txBox="1"/>
      </xdr:nvSpPr>
      <xdr:spPr>
        <a:xfrm>
          <a:off x="10488465" y="3102580"/>
          <a:ext cx="2182919" cy="1773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0"/>
            <a:t>6816-DMC-B51-T704d7/6816-DSC-B01-AI704d7</a:t>
          </a:r>
        </a:p>
      </xdr:txBody>
    </xdr:sp>
    <xdr:clientData/>
  </xdr:twoCellAnchor>
  <xdr:twoCellAnchor>
    <xdr:from>
      <xdr:col>7</xdr:col>
      <xdr:colOff>20708</xdr:colOff>
      <xdr:row>10</xdr:row>
      <xdr:rowOff>94435</xdr:rowOff>
    </xdr:from>
    <xdr:to>
      <xdr:col>8</xdr:col>
      <xdr:colOff>37169</xdr:colOff>
      <xdr:row>11</xdr:row>
      <xdr:rowOff>76519</xdr:rowOff>
    </xdr:to>
    <xdr:sp macro="" textlink="">
      <xdr:nvSpPr>
        <xdr:cNvPr id="37" name="TextBox 36"/>
        <xdr:cNvSpPr txBox="1"/>
      </xdr:nvSpPr>
      <xdr:spPr>
        <a:xfrm>
          <a:off x="4897508" y="3218635"/>
          <a:ext cx="626061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 Pr</a:t>
          </a:r>
          <a:r>
            <a:rPr lang="en-US" sz="800" baseline="0"/>
            <a:t> 12</a:t>
          </a:r>
          <a:endParaRPr lang="en-US" sz="800"/>
        </a:p>
      </xdr:txBody>
    </xdr:sp>
    <xdr:clientData/>
  </xdr:twoCellAnchor>
  <xdr:twoCellAnchor>
    <xdr:from>
      <xdr:col>7</xdr:col>
      <xdr:colOff>25543</xdr:colOff>
      <xdr:row>11</xdr:row>
      <xdr:rowOff>138172</xdr:rowOff>
    </xdr:from>
    <xdr:to>
      <xdr:col>8</xdr:col>
      <xdr:colOff>66796</xdr:colOff>
      <xdr:row>12</xdr:row>
      <xdr:rowOff>110915</xdr:rowOff>
    </xdr:to>
    <xdr:sp macro="" textlink="">
      <xdr:nvSpPr>
        <xdr:cNvPr id="38" name="TextBox 37"/>
        <xdr:cNvSpPr txBox="1"/>
      </xdr:nvSpPr>
      <xdr:spPr>
        <a:xfrm>
          <a:off x="4902343" y="3462397"/>
          <a:ext cx="650853" cy="172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 </a:t>
          </a:r>
          <a:r>
            <a:rPr lang="en-US" sz="800" b="0"/>
            <a:t>Pr</a:t>
          </a:r>
          <a:r>
            <a:rPr lang="en-US" sz="800"/>
            <a:t> 12</a:t>
          </a:r>
        </a:p>
      </xdr:txBody>
    </xdr:sp>
    <xdr:clientData/>
  </xdr:twoCellAnchor>
  <xdr:twoCellAnchor>
    <xdr:from>
      <xdr:col>1</xdr:col>
      <xdr:colOff>991426</xdr:colOff>
      <xdr:row>11</xdr:row>
      <xdr:rowOff>91965</xdr:rowOff>
    </xdr:from>
    <xdr:to>
      <xdr:col>5</xdr:col>
      <xdr:colOff>597776</xdr:colOff>
      <xdr:row>11</xdr:row>
      <xdr:rowOff>101299</xdr:rowOff>
    </xdr:to>
    <xdr:cxnSp macro="">
      <xdr:nvCxnSpPr>
        <xdr:cNvPr id="39" name="Straight Connector 38"/>
        <xdr:cNvCxnSpPr/>
      </xdr:nvCxnSpPr>
      <xdr:spPr>
        <a:xfrm flipV="1">
          <a:off x="1543876" y="3416190"/>
          <a:ext cx="2425750" cy="933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585788</xdr:colOff>
      <xdr:row>11</xdr:row>
      <xdr:rowOff>108970</xdr:rowOff>
    </xdr:from>
    <xdr:to>
      <xdr:col>2</xdr:col>
      <xdr:colOff>585788</xdr:colOff>
      <xdr:row>12</xdr:row>
      <xdr:rowOff>118645</xdr:rowOff>
    </xdr:to>
    <xdr:cxnSp macro="">
      <xdr:nvCxnSpPr>
        <xdr:cNvPr id="40" name="Straight Connector 39"/>
        <xdr:cNvCxnSpPr/>
      </xdr:nvCxnSpPr>
      <xdr:spPr>
        <a:xfrm flipV="1">
          <a:off x="2128838" y="3433195"/>
          <a:ext cx="0" cy="209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991914</xdr:colOff>
      <xdr:row>12</xdr:row>
      <xdr:rowOff>118241</xdr:rowOff>
    </xdr:from>
    <xdr:to>
      <xdr:col>2</xdr:col>
      <xdr:colOff>584637</xdr:colOff>
      <xdr:row>12</xdr:row>
      <xdr:rowOff>118243</xdr:rowOff>
    </xdr:to>
    <xdr:cxnSp macro="">
      <xdr:nvCxnSpPr>
        <xdr:cNvPr id="41" name="Straight Connector 40"/>
        <xdr:cNvCxnSpPr/>
      </xdr:nvCxnSpPr>
      <xdr:spPr>
        <a:xfrm flipV="1">
          <a:off x="1544364" y="3642491"/>
          <a:ext cx="58332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225145</xdr:colOff>
      <xdr:row>10</xdr:row>
      <xdr:rowOff>100182</xdr:rowOff>
    </xdr:from>
    <xdr:to>
      <xdr:col>5</xdr:col>
      <xdr:colOff>588827</xdr:colOff>
      <xdr:row>11</xdr:row>
      <xdr:rowOff>82266</xdr:rowOff>
    </xdr:to>
    <xdr:sp macro="" textlink="">
      <xdr:nvSpPr>
        <xdr:cNvPr id="42" name="TextBox 41"/>
        <xdr:cNvSpPr txBox="1"/>
      </xdr:nvSpPr>
      <xdr:spPr>
        <a:xfrm>
          <a:off x="3596995" y="3224382"/>
          <a:ext cx="363682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</a:t>
          </a:r>
        </a:p>
      </xdr:txBody>
    </xdr:sp>
    <xdr:clientData/>
  </xdr:twoCellAnchor>
  <xdr:twoCellAnchor>
    <xdr:from>
      <xdr:col>5</xdr:col>
      <xdr:colOff>3595</xdr:colOff>
      <xdr:row>11</xdr:row>
      <xdr:rowOff>107833</xdr:rowOff>
    </xdr:from>
    <xdr:to>
      <xdr:col>5</xdr:col>
      <xdr:colOff>3595</xdr:colOff>
      <xdr:row>12</xdr:row>
      <xdr:rowOff>106680</xdr:rowOff>
    </xdr:to>
    <xdr:cxnSp macro="">
      <xdr:nvCxnSpPr>
        <xdr:cNvPr id="43" name="Straight Connector 42"/>
        <xdr:cNvCxnSpPr/>
      </xdr:nvCxnSpPr>
      <xdr:spPr>
        <a:xfrm flipV="1">
          <a:off x="3375445" y="3432058"/>
          <a:ext cx="0" cy="19887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607707</xdr:colOff>
      <xdr:row>12</xdr:row>
      <xdr:rowOff>108320</xdr:rowOff>
    </xdr:from>
    <xdr:to>
      <xdr:col>6</xdr:col>
      <xdr:colOff>2472</xdr:colOff>
      <xdr:row>12</xdr:row>
      <xdr:rowOff>108320</xdr:rowOff>
    </xdr:to>
    <xdr:cxnSp macro="">
      <xdr:nvCxnSpPr>
        <xdr:cNvPr id="44" name="Straight Connector 43"/>
        <xdr:cNvCxnSpPr/>
      </xdr:nvCxnSpPr>
      <xdr:spPr>
        <a:xfrm>
          <a:off x="3369957" y="3632570"/>
          <a:ext cx="61396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190507</xdr:colOff>
      <xdr:row>11</xdr:row>
      <xdr:rowOff>117494</xdr:rowOff>
    </xdr:from>
    <xdr:to>
      <xdr:col>5</xdr:col>
      <xdr:colOff>593154</xdr:colOff>
      <xdr:row>12</xdr:row>
      <xdr:rowOff>99578</xdr:rowOff>
    </xdr:to>
    <xdr:sp macro="" textlink="">
      <xdr:nvSpPr>
        <xdr:cNvPr id="45" name="TextBox 44"/>
        <xdr:cNvSpPr txBox="1"/>
      </xdr:nvSpPr>
      <xdr:spPr>
        <a:xfrm>
          <a:off x="3562357" y="3441719"/>
          <a:ext cx="402647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</a:t>
          </a:r>
        </a:p>
      </xdr:txBody>
    </xdr:sp>
    <xdr:clientData/>
  </xdr:twoCellAnchor>
  <xdr:twoCellAnchor>
    <xdr:from>
      <xdr:col>6</xdr:col>
      <xdr:colOff>885286</xdr:colOff>
      <xdr:row>15</xdr:row>
      <xdr:rowOff>96342</xdr:rowOff>
    </xdr:from>
    <xdr:to>
      <xdr:col>9</xdr:col>
      <xdr:colOff>0</xdr:colOff>
      <xdr:row>15</xdr:row>
      <xdr:rowOff>96342</xdr:rowOff>
    </xdr:to>
    <xdr:cxnSp macro="">
      <xdr:nvCxnSpPr>
        <xdr:cNvPr id="46" name="Straight Connector 45"/>
        <xdr:cNvCxnSpPr/>
      </xdr:nvCxnSpPr>
      <xdr:spPr>
        <a:xfrm>
          <a:off x="4866736" y="4220667"/>
          <a:ext cx="1229264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287552</xdr:colOff>
      <xdr:row>12</xdr:row>
      <xdr:rowOff>125186</xdr:rowOff>
    </xdr:from>
    <xdr:to>
      <xdr:col>5</xdr:col>
      <xdr:colOff>593071</xdr:colOff>
      <xdr:row>13</xdr:row>
      <xdr:rowOff>86162</xdr:rowOff>
    </xdr:to>
    <xdr:sp macro="" textlink="">
      <xdr:nvSpPr>
        <xdr:cNvPr id="47" name="TextBox 46"/>
        <xdr:cNvSpPr txBox="1"/>
      </xdr:nvSpPr>
      <xdr:spPr>
        <a:xfrm>
          <a:off x="3659402" y="3649436"/>
          <a:ext cx="305519" cy="1610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[S]</a:t>
          </a:r>
        </a:p>
      </xdr:txBody>
    </xdr:sp>
    <xdr:clientData/>
  </xdr:twoCellAnchor>
  <xdr:twoCellAnchor>
    <xdr:from>
      <xdr:col>8</xdr:col>
      <xdr:colOff>604425</xdr:colOff>
      <xdr:row>11</xdr:row>
      <xdr:rowOff>89297</xdr:rowOff>
    </xdr:from>
    <xdr:to>
      <xdr:col>8</xdr:col>
      <xdr:colOff>604425</xdr:colOff>
      <xdr:row>15</xdr:row>
      <xdr:rowOff>95251</xdr:rowOff>
    </xdr:to>
    <xdr:cxnSp macro="">
      <xdr:nvCxnSpPr>
        <xdr:cNvPr id="48" name="Straight Connector 47"/>
        <xdr:cNvCxnSpPr/>
      </xdr:nvCxnSpPr>
      <xdr:spPr>
        <a:xfrm flipV="1">
          <a:off x="6090825" y="3413522"/>
          <a:ext cx="0" cy="806054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13</xdr:row>
      <xdr:rowOff>104267</xdr:rowOff>
    </xdr:from>
    <xdr:to>
      <xdr:col>6</xdr:col>
      <xdr:colOff>2772</xdr:colOff>
      <xdr:row>13</xdr:row>
      <xdr:rowOff>104267</xdr:rowOff>
    </xdr:to>
    <xdr:cxnSp macro="">
      <xdr:nvCxnSpPr>
        <xdr:cNvPr id="49" name="Straight Connector 48"/>
        <xdr:cNvCxnSpPr/>
      </xdr:nvCxnSpPr>
      <xdr:spPr>
        <a:xfrm>
          <a:off x="3514725" y="3828542"/>
          <a:ext cx="46949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364364</xdr:colOff>
      <xdr:row>10</xdr:row>
      <xdr:rowOff>49249</xdr:rowOff>
    </xdr:from>
    <xdr:to>
      <xdr:col>5</xdr:col>
      <xdr:colOff>27989</xdr:colOff>
      <xdr:row>11</xdr:row>
      <xdr:rowOff>31333</xdr:rowOff>
    </xdr:to>
    <xdr:sp macro="" textlink="">
      <xdr:nvSpPr>
        <xdr:cNvPr id="50" name="TextBox 49"/>
        <xdr:cNvSpPr txBox="1"/>
      </xdr:nvSpPr>
      <xdr:spPr>
        <a:xfrm>
          <a:off x="1907414" y="3173449"/>
          <a:ext cx="1492425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6816-LZI-3023/6816-DJB-105</a:t>
          </a:r>
        </a:p>
      </xdr:txBody>
    </xdr:sp>
    <xdr:clientData/>
  </xdr:twoCellAnchor>
  <xdr:twoCellAnchor>
    <xdr:from>
      <xdr:col>2</xdr:col>
      <xdr:colOff>50976</xdr:colOff>
      <xdr:row>10</xdr:row>
      <xdr:rowOff>111068</xdr:rowOff>
    </xdr:from>
    <xdr:to>
      <xdr:col>2</xdr:col>
      <xdr:colOff>414658</xdr:colOff>
      <xdr:row>11</xdr:row>
      <xdr:rowOff>93152</xdr:rowOff>
    </xdr:to>
    <xdr:sp macro="" textlink="">
      <xdr:nvSpPr>
        <xdr:cNvPr id="51" name="TextBox 50"/>
        <xdr:cNvSpPr txBox="1"/>
      </xdr:nvSpPr>
      <xdr:spPr>
        <a:xfrm>
          <a:off x="1594026" y="3235268"/>
          <a:ext cx="363682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</a:t>
          </a:r>
        </a:p>
      </xdr:txBody>
    </xdr:sp>
    <xdr:clientData/>
  </xdr:twoCellAnchor>
  <xdr:twoCellAnchor>
    <xdr:from>
      <xdr:col>2</xdr:col>
      <xdr:colOff>100183</xdr:colOff>
      <xdr:row>11</xdr:row>
      <xdr:rowOff>129952</xdr:rowOff>
    </xdr:from>
    <xdr:to>
      <xdr:col>2</xdr:col>
      <xdr:colOff>502830</xdr:colOff>
      <xdr:row>12</xdr:row>
      <xdr:rowOff>112036</xdr:rowOff>
    </xdr:to>
    <xdr:sp macro="" textlink="">
      <xdr:nvSpPr>
        <xdr:cNvPr id="52" name="TextBox 51"/>
        <xdr:cNvSpPr txBox="1"/>
      </xdr:nvSpPr>
      <xdr:spPr>
        <a:xfrm>
          <a:off x="1643233" y="3454177"/>
          <a:ext cx="402647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</a:t>
          </a:r>
        </a:p>
      </xdr:txBody>
    </xdr:sp>
    <xdr:clientData/>
  </xdr:twoCellAnchor>
  <xdr:twoCellAnchor>
    <xdr:from>
      <xdr:col>7</xdr:col>
      <xdr:colOff>0</xdr:colOff>
      <xdr:row>12</xdr:row>
      <xdr:rowOff>116159</xdr:rowOff>
    </xdr:from>
    <xdr:to>
      <xdr:col>8</xdr:col>
      <xdr:colOff>204439</xdr:colOff>
      <xdr:row>12</xdr:row>
      <xdr:rowOff>116159</xdr:rowOff>
    </xdr:to>
    <xdr:cxnSp macro="">
      <xdr:nvCxnSpPr>
        <xdr:cNvPr id="53" name="Straight Connector 52"/>
        <xdr:cNvCxnSpPr/>
      </xdr:nvCxnSpPr>
      <xdr:spPr>
        <a:xfrm>
          <a:off x="4876800" y="3640409"/>
          <a:ext cx="81403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11</xdr:row>
      <xdr:rowOff>3810</xdr:rowOff>
    </xdr:from>
    <xdr:to>
      <xdr:col>5</xdr:col>
      <xdr:colOff>179070</xdr:colOff>
      <xdr:row>13</xdr:row>
      <xdr:rowOff>30480</xdr:rowOff>
    </xdr:to>
    <xdr:sp macro="" textlink="">
      <xdr:nvSpPr>
        <xdr:cNvPr id="54" name="Oval 53"/>
        <xdr:cNvSpPr/>
      </xdr:nvSpPr>
      <xdr:spPr>
        <a:xfrm>
          <a:off x="3467100" y="3328035"/>
          <a:ext cx="83820" cy="426720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136865</xdr:colOff>
      <xdr:row>13</xdr:row>
      <xdr:rowOff>19633</xdr:rowOff>
    </xdr:from>
    <xdr:to>
      <xdr:col>5</xdr:col>
      <xdr:colOff>136865</xdr:colOff>
      <xdr:row>13</xdr:row>
      <xdr:rowOff>110490</xdr:rowOff>
    </xdr:to>
    <xdr:cxnSp macro="">
      <xdr:nvCxnSpPr>
        <xdr:cNvPr id="55" name="Straight Connector 54"/>
        <xdr:cNvCxnSpPr/>
      </xdr:nvCxnSpPr>
      <xdr:spPr>
        <a:xfrm flipV="1">
          <a:off x="3508715" y="3743908"/>
          <a:ext cx="0" cy="9085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611</xdr:colOff>
      <xdr:row>13</xdr:row>
      <xdr:rowOff>104267</xdr:rowOff>
    </xdr:from>
    <xdr:to>
      <xdr:col>8</xdr:col>
      <xdr:colOff>69696</xdr:colOff>
      <xdr:row>13</xdr:row>
      <xdr:rowOff>104267</xdr:rowOff>
    </xdr:to>
    <xdr:cxnSp macro="">
      <xdr:nvCxnSpPr>
        <xdr:cNvPr id="56" name="Straight Connector 55"/>
        <xdr:cNvCxnSpPr/>
      </xdr:nvCxnSpPr>
      <xdr:spPr>
        <a:xfrm>
          <a:off x="4877411" y="3828542"/>
          <a:ext cx="67868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58490</xdr:colOff>
      <xdr:row>13</xdr:row>
      <xdr:rowOff>35624</xdr:rowOff>
    </xdr:from>
    <xdr:to>
      <xdr:col>8</xdr:col>
      <xdr:colOff>59489</xdr:colOff>
      <xdr:row>13</xdr:row>
      <xdr:rowOff>102222</xdr:rowOff>
    </xdr:to>
    <xdr:cxnSp macro="">
      <xdr:nvCxnSpPr>
        <xdr:cNvPr id="57" name="Straight Connector 56"/>
        <xdr:cNvCxnSpPr>
          <a:endCxn id="58" idx="4"/>
        </xdr:cNvCxnSpPr>
      </xdr:nvCxnSpPr>
      <xdr:spPr>
        <a:xfrm flipV="1">
          <a:off x="5544890" y="3759899"/>
          <a:ext cx="999" cy="6659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17579</xdr:colOff>
      <xdr:row>11</xdr:row>
      <xdr:rowOff>9687</xdr:rowOff>
    </xdr:from>
    <xdr:to>
      <xdr:col>8</xdr:col>
      <xdr:colOff>101399</xdr:colOff>
      <xdr:row>13</xdr:row>
      <xdr:rowOff>35624</xdr:rowOff>
    </xdr:to>
    <xdr:sp macro="" textlink="">
      <xdr:nvSpPr>
        <xdr:cNvPr id="58" name="Oval 57"/>
        <xdr:cNvSpPr/>
      </xdr:nvSpPr>
      <xdr:spPr>
        <a:xfrm>
          <a:off x="5503979" y="3333912"/>
          <a:ext cx="83820" cy="425987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199094</xdr:colOff>
      <xdr:row>11</xdr:row>
      <xdr:rowOff>82769</xdr:rowOff>
    </xdr:from>
    <xdr:to>
      <xdr:col>8</xdr:col>
      <xdr:colOff>199094</xdr:colOff>
      <xdr:row>12</xdr:row>
      <xdr:rowOff>108857</xdr:rowOff>
    </xdr:to>
    <xdr:cxnSp macro="">
      <xdr:nvCxnSpPr>
        <xdr:cNvPr id="59" name="Straight Connector 58"/>
        <xdr:cNvCxnSpPr/>
      </xdr:nvCxnSpPr>
      <xdr:spPr>
        <a:xfrm flipV="1">
          <a:off x="5685494" y="3406994"/>
          <a:ext cx="0" cy="22611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889000</xdr:colOff>
      <xdr:row>11</xdr:row>
      <xdr:rowOff>87312</xdr:rowOff>
    </xdr:from>
    <xdr:to>
      <xdr:col>11</xdr:col>
      <xdr:colOff>670718</xdr:colOff>
      <xdr:row>11</xdr:row>
      <xdr:rowOff>103188</xdr:rowOff>
    </xdr:to>
    <xdr:cxnSp macro="">
      <xdr:nvCxnSpPr>
        <xdr:cNvPr id="60" name="Straight Connector 59"/>
        <xdr:cNvCxnSpPr/>
      </xdr:nvCxnSpPr>
      <xdr:spPr>
        <a:xfrm flipV="1">
          <a:off x="4870450" y="3411537"/>
          <a:ext cx="3124993" cy="1587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31881</xdr:colOff>
      <xdr:row>12</xdr:row>
      <xdr:rowOff>125186</xdr:rowOff>
    </xdr:from>
    <xdr:to>
      <xdr:col>7</xdr:col>
      <xdr:colOff>337400</xdr:colOff>
      <xdr:row>13</xdr:row>
      <xdr:rowOff>86162</xdr:rowOff>
    </xdr:to>
    <xdr:sp macro="" textlink="">
      <xdr:nvSpPr>
        <xdr:cNvPr id="61" name="TextBox 60"/>
        <xdr:cNvSpPr txBox="1"/>
      </xdr:nvSpPr>
      <xdr:spPr>
        <a:xfrm>
          <a:off x="4908681" y="3649436"/>
          <a:ext cx="305519" cy="1610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[S]</a:t>
          </a:r>
        </a:p>
      </xdr:txBody>
    </xdr:sp>
    <xdr:clientData/>
  </xdr:twoCellAnchor>
  <xdr:twoCellAnchor>
    <xdr:from>
      <xdr:col>8</xdr:col>
      <xdr:colOff>85397</xdr:colOff>
      <xdr:row>9</xdr:row>
      <xdr:rowOff>148514</xdr:rowOff>
    </xdr:from>
    <xdr:to>
      <xdr:col>10</xdr:col>
      <xdr:colOff>315312</xdr:colOff>
      <xdr:row>10</xdr:row>
      <xdr:rowOff>138068</xdr:rowOff>
    </xdr:to>
    <xdr:sp macro="" textlink="">
      <xdr:nvSpPr>
        <xdr:cNvPr id="62" name="TextBox 61"/>
        <xdr:cNvSpPr txBox="1"/>
      </xdr:nvSpPr>
      <xdr:spPr>
        <a:xfrm>
          <a:off x="5571797" y="3082214"/>
          <a:ext cx="1477690" cy="1800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6816-DJB-105/6816-DMC-B51</a:t>
          </a:r>
        </a:p>
      </xdr:txBody>
    </xdr:sp>
    <xdr:clientData/>
  </xdr:twoCellAnchor>
  <xdr:twoCellAnchor>
    <xdr:from>
      <xdr:col>10</xdr:col>
      <xdr:colOff>547687</xdr:colOff>
      <xdr:row>12</xdr:row>
      <xdr:rowOff>196453</xdr:rowOff>
    </xdr:from>
    <xdr:to>
      <xdr:col>12</xdr:col>
      <xdr:colOff>0</xdr:colOff>
      <xdr:row>12</xdr:row>
      <xdr:rowOff>196453</xdr:rowOff>
    </xdr:to>
    <xdr:cxnSp macro="">
      <xdr:nvCxnSpPr>
        <xdr:cNvPr id="63" name="Straight Connector 62"/>
        <xdr:cNvCxnSpPr/>
      </xdr:nvCxnSpPr>
      <xdr:spPr>
        <a:xfrm>
          <a:off x="7281862" y="3720703"/>
          <a:ext cx="70961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541734</xdr:colOff>
      <xdr:row>11</xdr:row>
      <xdr:rowOff>95251</xdr:rowOff>
    </xdr:from>
    <xdr:to>
      <xdr:col>10</xdr:col>
      <xdr:colOff>541735</xdr:colOff>
      <xdr:row>13</xdr:row>
      <xdr:rowOff>11906</xdr:rowOff>
    </xdr:to>
    <xdr:cxnSp macro="">
      <xdr:nvCxnSpPr>
        <xdr:cNvPr id="64" name="Straight Connector 63"/>
        <xdr:cNvCxnSpPr/>
      </xdr:nvCxnSpPr>
      <xdr:spPr>
        <a:xfrm flipV="1">
          <a:off x="7275909" y="3419476"/>
          <a:ext cx="1" cy="31670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592555</xdr:colOff>
      <xdr:row>12</xdr:row>
      <xdr:rowOff>2181</xdr:rowOff>
    </xdr:from>
    <xdr:to>
      <xdr:col>14</xdr:col>
      <xdr:colOff>0</xdr:colOff>
      <xdr:row>12</xdr:row>
      <xdr:rowOff>2181</xdr:rowOff>
    </xdr:to>
    <xdr:cxnSp macro="">
      <xdr:nvCxnSpPr>
        <xdr:cNvPr id="65" name="Straight Connector 64"/>
        <xdr:cNvCxnSpPr/>
      </xdr:nvCxnSpPr>
      <xdr:spPr>
        <a:xfrm>
          <a:off x="8584030" y="3526431"/>
          <a:ext cx="100764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8355</xdr:colOff>
      <xdr:row>11</xdr:row>
      <xdr:rowOff>168868</xdr:rowOff>
    </xdr:from>
    <xdr:to>
      <xdr:col>18</xdr:col>
      <xdr:colOff>0</xdr:colOff>
      <xdr:row>11</xdr:row>
      <xdr:rowOff>168868</xdr:rowOff>
    </xdr:to>
    <xdr:cxnSp macro="">
      <xdr:nvCxnSpPr>
        <xdr:cNvPr id="66" name="Straight Connector 65"/>
        <xdr:cNvCxnSpPr/>
      </xdr:nvCxnSpPr>
      <xdr:spPr>
        <a:xfrm>
          <a:off x="10485855" y="3493093"/>
          <a:ext cx="21823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554108</xdr:colOff>
      <xdr:row>10</xdr:row>
      <xdr:rowOff>69035</xdr:rowOff>
    </xdr:from>
    <xdr:to>
      <xdr:col>11</xdr:col>
      <xdr:colOff>570569</xdr:colOff>
      <xdr:row>11</xdr:row>
      <xdr:rowOff>51119</xdr:rowOff>
    </xdr:to>
    <xdr:sp macro="" textlink="">
      <xdr:nvSpPr>
        <xdr:cNvPr id="67" name="TextBox 66"/>
        <xdr:cNvSpPr txBox="1"/>
      </xdr:nvSpPr>
      <xdr:spPr>
        <a:xfrm>
          <a:off x="7288283" y="3193235"/>
          <a:ext cx="626061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 Pr</a:t>
          </a:r>
          <a:r>
            <a:rPr lang="en-US" sz="800" baseline="0"/>
            <a:t> 12</a:t>
          </a:r>
          <a:endParaRPr lang="en-US" sz="800"/>
        </a:p>
      </xdr:txBody>
    </xdr:sp>
    <xdr:clientData/>
  </xdr:twoCellAnchor>
  <xdr:twoCellAnchor>
    <xdr:from>
      <xdr:col>10</xdr:col>
      <xdr:colOff>571499</xdr:colOff>
      <xdr:row>11</xdr:row>
      <xdr:rowOff>108529</xdr:rowOff>
    </xdr:from>
    <xdr:to>
      <xdr:col>11</xdr:col>
      <xdr:colOff>607219</xdr:colOff>
      <xdr:row>12</xdr:row>
      <xdr:rowOff>108529</xdr:rowOff>
    </xdr:to>
    <xdr:sp macro="" textlink="">
      <xdr:nvSpPr>
        <xdr:cNvPr id="68" name="TextBox 67"/>
        <xdr:cNvSpPr txBox="1"/>
      </xdr:nvSpPr>
      <xdr:spPr>
        <a:xfrm>
          <a:off x="7305674" y="3432754"/>
          <a:ext cx="64532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 </a:t>
          </a:r>
          <a:r>
            <a:rPr lang="en-US" sz="800" b="0"/>
            <a:t>Pr 12</a:t>
          </a:r>
          <a:endParaRPr lang="en-US" sz="800"/>
        </a:p>
      </xdr:txBody>
    </xdr:sp>
    <xdr:clientData/>
  </xdr:twoCellAnchor>
  <xdr:twoCellAnchor>
    <xdr:from>
      <xdr:col>15</xdr:col>
      <xdr:colOff>10965</xdr:colOff>
      <xdr:row>20</xdr:row>
      <xdr:rowOff>168880</xdr:rowOff>
    </xdr:from>
    <xdr:to>
      <xdr:col>18</xdr:col>
      <xdr:colOff>3134</xdr:colOff>
      <xdr:row>21</xdr:row>
      <xdr:rowOff>155722</xdr:rowOff>
    </xdr:to>
    <xdr:sp macro="" textlink="">
      <xdr:nvSpPr>
        <xdr:cNvPr id="69" name="TextBox 68"/>
        <xdr:cNvSpPr txBox="1"/>
      </xdr:nvSpPr>
      <xdr:spPr>
        <a:xfrm>
          <a:off x="10488465" y="5255230"/>
          <a:ext cx="2182919" cy="1773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0"/>
            <a:t>6816-DMC-B51-T704d9/6816-DSC-B01-AO704d9</a:t>
          </a:r>
        </a:p>
      </xdr:txBody>
    </xdr:sp>
    <xdr:clientData/>
  </xdr:twoCellAnchor>
  <xdr:twoCellAnchor>
    <xdr:from>
      <xdr:col>7</xdr:col>
      <xdr:colOff>20708</xdr:colOff>
      <xdr:row>21</xdr:row>
      <xdr:rowOff>94435</xdr:rowOff>
    </xdr:from>
    <xdr:to>
      <xdr:col>8</xdr:col>
      <xdr:colOff>37169</xdr:colOff>
      <xdr:row>22</xdr:row>
      <xdr:rowOff>76519</xdr:rowOff>
    </xdr:to>
    <xdr:sp macro="" textlink="">
      <xdr:nvSpPr>
        <xdr:cNvPr id="70" name="TextBox 69"/>
        <xdr:cNvSpPr txBox="1"/>
      </xdr:nvSpPr>
      <xdr:spPr>
        <a:xfrm>
          <a:off x="4897508" y="5371285"/>
          <a:ext cx="626061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 Pr</a:t>
          </a:r>
          <a:r>
            <a:rPr lang="en-US" sz="800" baseline="0"/>
            <a:t> 11</a:t>
          </a:r>
          <a:endParaRPr lang="en-US" sz="800"/>
        </a:p>
      </xdr:txBody>
    </xdr:sp>
    <xdr:clientData/>
  </xdr:twoCellAnchor>
  <xdr:twoCellAnchor>
    <xdr:from>
      <xdr:col>7</xdr:col>
      <xdr:colOff>25543</xdr:colOff>
      <xdr:row>22</xdr:row>
      <xdr:rowOff>138172</xdr:rowOff>
    </xdr:from>
    <xdr:to>
      <xdr:col>8</xdr:col>
      <xdr:colOff>66796</xdr:colOff>
      <xdr:row>23</xdr:row>
      <xdr:rowOff>110915</xdr:rowOff>
    </xdr:to>
    <xdr:sp macro="" textlink="">
      <xdr:nvSpPr>
        <xdr:cNvPr id="71" name="TextBox 70"/>
        <xdr:cNvSpPr txBox="1"/>
      </xdr:nvSpPr>
      <xdr:spPr>
        <a:xfrm>
          <a:off x="4902343" y="5615047"/>
          <a:ext cx="650853" cy="172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 </a:t>
          </a:r>
          <a:r>
            <a:rPr lang="en-US" sz="800" b="0"/>
            <a:t>Pr</a:t>
          </a:r>
          <a:r>
            <a:rPr lang="en-US" sz="800"/>
            <a:t> 11</a:t>
          </a:r>
        </a:p>
      </xdr:txBody>
    </xdr:sp>
    <xdr:clientData/>
  </xdr:twoCellAnchor>
  <xdr:twoCellAnchor>
    <xdr:from>
      <xdr:col>1</xdr:col>
      <xdr:colOff>991426</xdr:colOff>
      <xdr:row>22</xdr:row>
      <xdr:rowOff>91965</xdr:rowOff>
    </xdr:from>
    <xdr:to>
      <xdr:col>5</xdr:col>
      <xdr:colOff>597776</xdr:colOff>
      <xdr:row>22</xdr:row>
      <xdr:rowOff>101299</xdr:rowOff>
    </xdr:to>
    <xdr:cxnSp macro="">
      <xdr:nvCxnSpPr>
        <xdr:cNvPr id="72" name="Straight Connector 71"/>
        <xdr:cNvCxnSpPr/>
      </xdr:nvCxnSpPr>
      <xdr:spPr>
        <a:xfrm flipV="1">
          <a:off x="1543876" y="5568840"/>
          <a:ext cx="2425750" cy="933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585788</xdr:colOff>
      <xdr:row>22</xdr:row>
      <xdr:rowOff>108970</xdr:rowOff>
    </xdr:from>
    <xdr:to>
      <xdr:col>2</xdr:col>
      <xdr:colOff>585788</xdr:colOff>
      <xdr:row>23</xdr:row>
      <xdr:rowOff>118645</xdr:rowOff>
    </xdr:to>
    <xdr:cxnSp macro="">
      <xdr:nvCxnSpPr>
        <xdr:cNvPr id="73" name="Straight Connector 72"/>
        <xdr:cNvCxnSpPr/>
      </xdr:nvCxnSpPr>
      <xdr:spPr>
        <a:xfrm flipV="1">
          <a:off x="2128838" y="5585845"/>
          <a:ext cx="0" cy="209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991914</xdr:colOff>
      <xdr:row>23</xdr:row>
      <xdr:rowOff>118241</xdr:rowOff>
    </xdr:from>
    <xdr:to>
      <xdr:col>2</xdr:col>
      <xdr:colOff>584637</xdr:colOff>
      <xdr:row>23</xdr:row>
      <xdr:rowOff>118243</xdr:rowOff>
    </xdr:to>
    <xdr:cxnSp macro="">
      <xdr:nvCxnSpPr>
        <xdr:cNvPr id="74" name="Straight Connector 73"/>
        <xdr:cNvCxnSpPr/>
      </xdr:nvCxnSpPr>
      <xdr:spPr>
        <a:xfrm flipV="1">
          <a:off x="1544364" y="5795141"/>
          <a:ext cx="58332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225145</xdr:colOff>
      <xdr:row>21</xdr:row>
      <xdr:rowOff>100182</xdr:rowOff>
    </xdr:from>
    <xdr:to>
      <xdr:col>5</xdr:col>
      <xdr:colOff>588827</xdr:colOff>
      <xdr:row>22</xdr:row>
      <xdr:rowOff>82266</xdr:rowOff>
    </xdr:to>
    <xdr:sp macro="" textlink="">
      <xdr:nvSpPr>
        <xdr:cNvPr id="75" name="TextBox 74"/>
        <xdr:cNvSpPr txBox="1"/>
      </xdr:nvSpPr>
      <xdr:spPr>
        <a:xfrm>
          <a:off x="3596995" y="5377032"/>
          <a:ext cx="363682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</a:t>
          </a:r>
        </a:p>
      </xdr:txBody>
    </xdr:sp>
    <xdr:clientData/>
  </xdr:twoCellAnchor>
  <xdr:twoCellAnchor>
    <xdr:from>
      <xdr:col>5</xdr:col>
      <xdr:colOff>3595</xdr:colOff>
      <xdr:row>22</xdr:row>
      <xdr:rowOff>107833</xdr:rowOff>
    </xdr:from>
    <xdr:to>
      <xdr:col>5</xdr:col>
      <xdr:colOff>3595</xdr:colOff>
      <xdr:row>23</xdr:row>
      <xdr:rowOff>106680</xdr:rowOff>
    </xdr:to>
    <xdr:cxnSp macro="">
      <xdr:nvCxnSpPr>
        <xdr:cNvPr id="76" name="Straight Connector 75"/>
        <xdr:cNvCxnSpPr/>
      </xdr:nvCxnSpPr>
      <xdr:spPr>
        <a:xfrm flipV="1">
          <a:off x="3375445" y="5584708"/>
          <a:ext cx="0" cy="19887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607707</xdr:colOff>
      <xdr:row>23</xdr:row>
      <xdr:rowOff>108320</xdr:rowOff>
    </xdr:from>
    <xdr:to>
      <xdr:col>6</xdr:col>
      <xdr:colOff>2472</xdr:colOff>
      <xdr:row>23</xdr:row>
      <xdr:rowOff>108320</xdr:rowOff>
    </xdr:to>
    <xdr:cxnSp macro="">
      <xdr:nvCxnSpPr>
        <xdr:cNvPr id="77" name="Straight Connector 76"/>
        <xdr:cNvCxnSpPr/>
      </xdr:nvCxnSpPr>
      <xdr:spPr>
        <a:xfrm>
          <a:off x="3369957" y="5785220"/>
          <a:ext cx="61396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190507</xdr:colOff>
      <xdr:row>22</xdr:row>
      <xdr:rowOff>117494</xdr:rowOff>
    </xdr:from>
    <xdr:to>
      <xdr:col>5</xdr:col>
      <xdr:colOff>593154</xdr:colOff>
      <xdr:row>23</xdr:row>
      <xdr:rowOff>99578</xdr:rowOff>
    </xdr:to>
    <xdr:sp macro="" textlink="">
      <xdr:nvSpPr>
        <xdr:cNvPr id="78" name="TextBox 77"/>
        <xdr:cNvSpPr txBox="1"/>
      </xdr:nvSpPr>
      <xdr:spPr>
        <a:xfrm>
          <a:off x="3562357" y="5594369"/>
          <a:ext cx="402647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</a:t>
          </a:r>
        </a:p>
      </xdr:txBody>
    </xdr:sp>
    <xdr:clientData/>
  </xdr:twoCellAnchor>
  <xdr:twoCellAnchor>
    <xdr:from>
      <xdr:col>6</xdr:col>
      <xdr:colOff>885286</xdr:colOff>
      <xdr:row>26</xdr:row>
      <xdr:rowOff>96342</xdr:rowOff>
    </xdr:from>
    <xdr:to>
      <xdr:col>9</xdr:col>
      <xdr:colOff>0</xdr:colOff>
      <xdr:row>26</xdr:row>
      <xdr:rowOff>96342</xdr:rowOff>
    </xdr:to>
    <xdr:cxnSp macro="">
      <xdr:nvCxnSpPr>
        <xdr:cNvPr id="79" name="Straight Connector 78"/>
        <xdr:cNvCxnSpPr/>
      </xdr:nvCxnSpPr>
      <xdr:spPr>
        <a:xfrm>
          <a:off x="4866736" y="6373317"/>
          <a:ext cx="1229264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287552</xdr:colOff>
      <xdr:row>23</xdr:row>
      <xdr:rowOff>125186</xdr:rowOff>
    </xdr:from>
    <xdr:to>
      <xdr:col>5</xdr:col>
      <xdr:colOff>593071</xdr:colOff>
      <xdr:row>24</xdr:row>
      <xdr:rowOff>86162</xdr:rowOff>
    </xdr:to>
    <xdr:sp macro="" textlink="">
      <xdr:nvSpPr>
        <xdr:cNvPr id="80" name="TextBox 79"/>
        <xdr:cNvSpPr txBox="1"/>
      </xdr:nvSpPr>
      <xdr:spPr>
        <a:xfrm>
          <a:off x="3659402" y="5802086"/>
          <a:ext cx="305519" cy="1610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[S]</a:t>
          </a:r>
        </a:p>
      </xdr:txBody>
    </xdr:sp>
    <xdr:clientData/>
  </xdr:twoCellAnchor>
  <xdr:twoCellAnchor>
    <xdr:from>
      <xdr:col>8</xdr:col>
      <xdr:colOff>604425</xdr:colOff>
      <xdr:row>22</xdr:row>
      <xdr:rowOff>89297</xdr:rowOff>
    </xdr:from>
    <xdr:to>
      <xdr:col>8</xdr:col>
      <xdr:colOff>604425</xdr:colOff>
      <xdr:row>26</xdr:row>
      <xdr:rowOff>95251</xdr:rowOff>
    </xdr:to>
    <xdr:cxnSp macro="">
      <xdr:nvCxnSpPr>
        <xdr:cNvPr id="81" name="Straight Connector 80"/>
        <xdr:cNvCxnSpPr/>
      </xdr:nvCxnSpPr>
      <xdr:spPr>
        <a:xfrm flipV="1">
          <a:off x="6090825" y="5566172"/>
          <a:ext cx="0" cy="806054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24</xdr:row>
      <xdr:rowOff>104267</xdr:rowOff>
    </xdr:from>
    <xdr:to>
      <xdr:col>6</xdr:col>
      <xdr:colOff>2772</xdr:colOff>
      <xdr:row>24</xdr:row>
      <xdr:rowOff>104267</xdr:rowOff>
    </xdr:to>
    <xdr:cxnSp macro="">
      <xdr:nvCxnSpPr>
        <xdr:cNvPr id="82" name="Straight Connector 81"/>
        <xdr:cNvCxnSpPr/>
      </xdr:nvCxnSpPr>
      <xdr:spPr>
        <a:xfrm>
          <a:off x="3514725" y="5981192"/>
          <a:ext cx="46949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364364</xdr:colOff>
      <xdr:row>21</xdr:row>
      <xdr:rowOff>49249</xdr:rowOff>
    </xdr:from>
    <xdr:to>
      <xdr:col>5</xdr:col>
      <xdr:colOff>27989</xdr:colOff>
      <xdr:row>22</xdr:row>
      <xdr:rowOff>31333</xdr:rowOff>
    </xdr:to>
    <xdr:sp macro="" textlink="">
      <xdr:nvSpPr>
        <xdr:cNvPr id="83" name="TextBox 82"/>
        <xdr:cNvSpPr txBox="1"/>
      </xdr:nvSpPr>
      <xdr:spPr>
        <a:xfrm>
          <a:off x="1907414" y="5326099"/>
          <a:ext cx="1492425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6816-LZI-3023/6816-DJB-105</a:t>
          </a:r>
        </a:p>
      </xdr:txBody>
    </xdr:sp>
    <xdr:clientData/>
  </xdr:twoCellAnchor>
  <xdr:twoCellAnchor>
    <xdr:from>
      <xdr:col>2</xdr:col>
      <xdr:colOff>50976</xdr:colOff>
      <xdr:row>21</xdr:row>
      <xdr:rowOff>111068</xdr:rowOff>
    </xdr:from>
    <xdr:to>
      <xdr:col>2</xdr:col>
      <xdr:colOff>414658</xdr:colOff>
      <xdr:row>22</xdr:row>
      <xdr:rowOff>93152</xdr:rowOff>
    </xdr:to>
    <xdr:sp macro="" textlink="">
      <xdr:nvSpPr>
        <xdr:cNvPr id="84" name="TextBox 83"/>
        <xdr:cNvSpPr txBox="1"/>
      </xdr:nvSpPr>
      <xdr:spPr>
        <a:xfrm>
          <a:off x="1594026" y="5387918"/>
          <a:ext cx="363682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</a:t>
          </a:r>
        </a:p>
      </xdr:txBody>
    </xdr:sp>
    <xdr:clientData/>
  </xdr:twoCellAnchor>
  <xdr:twoCellAnchor>
    <xdr:from>
      <xdr:col>2</xdr:col>
      <xdr:colOff>32664</xdr:colOff>
      <xdr:row>22</xdr:row>
      <xdr:rowOff>120306</xdr:rowOff>
    </xdr:from>
    <xdr:to>
      <xdr:col>2</xdr:col>
      <xdr:colOff>435311</xdr:colOff>
      <xdr:row>23</xdr:row>
      <xdr:rowOff>102390</xdr:rowOff>
    </xdr:to>
    <xdr:sp macro="" textlink="">
      <xdr:nvSpPr>
        <xdr:cNvPr id="85" name="TextBox 84"/>
        <xdr:cNvSpPr txBox="1"/>
      </xdr:nvSpPr>
      <xdr:spPr>
        <a:xfrm>
          <a:off x="1575714" y="5597181"/>
          <a:ext cx="402647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</a:t>
          </a:r>
        </a:p>
      </xdr:txBody>
    </xdr:sp>
    <xdr:clientData/>
  </xdr:twoCellAnchor>
  <xdr:twoCellAnchor>
    <xdr:from>
      <xdr:col>7</xdr:col>
      <xdr:colOff>0</xdr:colOff>
      <xdr:row>23</xdr:row>
      <xdr:rowOff>116159</xdr:rowOff>
    </xdr:from>
    <xdr:to>
      <xdr:col>8</xdr:col>
      <xdr:colOff>204439</xdr:colOff>
      <xdr:row>23</xdr:row>
      <xdr:rowOff>116159</xdr:rowOff>
    </xdr:to>
    <xdr:cxnSp macro="">
      <xdr:nvCxnSpPr>
        <xdr:cNvPr id="86" name="Straight Connector 85"/>
        <xdr:cNvCxnSpPr/>
      </xdr:nvCxnSpPr>
      <xdr:spPr>
        <a:xfrm>
          <a:off x="4876800" y="5793059"/>
          <a:ext cx="81403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22</xdr:row>
      <xdr:rowOff>3810</xdr:rowOff>
    </xdr:from>
    <xdr:to>
      <xdr:col>5</xdr:col>
      <xdr:colOff>179070</xdr:colOff>
      <xdr:row>24</xdr:row>
      <xdr:rowOff>30480</xdr:rowOff>
    </xdr:to>
    <xdr:sp macro="" textlink="">
      <xdr:nvSpPr>
        <xdr:cNvPr id="87" name="Oval 86"/>
        <xdr:cNvSpPr/>
      </xdr:nvSpPr>
      <xdr:spPr>
        <a:xfrm>
          <a:off x="3467100" y="5480685"/>
          <a:ext cx="83820" cy="426720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136865</xdr:colOff>
      <xdr:row>24</xdr:row>
      <xdr:rowOff>19633</xdr:rowOff>
    </xdr:from>
    <xdr:to>
      <xdr:col>5</xdr:col>
      <xdr:colOff>136865</xdr:colOff>
      <xdr:row>24</xdr:row>
      <xdr:rowOff>110490</xdr:rowOff>
    </xdr:to>
    <xdr:cxnSp macro="">
      <xdr:nvCxnSpPr>
        <xdr:cNvPr id="88" name="Straight Connector 87"/>
        <xdr:cNvCxnSpPr/>
      </xdr:nvCxnSpPr>
      <xdr:spPr>
        <a:xfrm flipV="1">
          <a:off x="3508715" y="5896558"/>
          <a:ext cx="0" cy="9085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611</xdr:colOff>
      <xdr:row>24</xdr:row>
      <xdr:rowOff>104267</xdr:rowOff>
    </xdr:from>
    <xdr:to>
      <xdr:col>8</xdr:col>
      <xdr:colOff>69696</xdr:colOff>
      <xdr:row>24</xdr:row>
      <xdr:rowOff>104267</xdr:rowOff>
    </xdr:to>
    <xdr:cxnSp macro="">
      <xdr:nvCxnSpPr>
        <xdr:cNvPr id="89" name="Straight Connector 88"/>
        <xdr:cNvCxnSpPr/>
      </xdr:nvCxnSpPr>
      <xdr:spPr>
        <a:xfrm>
          <a:off x="4877411" y="5981192"/>
          <a:ext cx="67868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58490</xdr:colOff>
      <xdr:row>24</xdr:row>
      <xdr:rowOff>35624</xdr:rowOff>
    </xdr:from>
    <xdr:to>
      <xdr:col>8</xdr:col>
      <xdr:colOff>59489</xdr:colOff>
      <xdr:row>24</xdr:row>
      <xdr:rowOff>102222</xdr:rowOff>
    </xdr:to>
    <xdr:cxnSp macro="">
      <xdr:nvCxnSpPr>
        <xdr:cNvPr id="90" name="Straight Connector 89"/>
        <xdr:cNvCxnSpPr>
          <a:endCxn id="91" idx="4"/>
        </xdr:cNvCxnSpPr>
      </xdr:nvCxnSpPr>
      <xdr:spPr>
        <a:xfrm flipV="1">
          <a:off x="5544890" y="5912549"/>
          <a:ext cx="999" cy="6659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17579</xdr:colOff>
      <xdr:row>22</xdr:row>
      <xdr:rowOff>9687</xdr:rowOff>
    </xdr:from>
    <xdr:to>
      <xdr:col>8</xdr:col>
      <xdr:colOff>101399</xdr:colOff>
      <xdr:row>24</xdr:row>
      <xdr:rowOff>35624</xdr:rowOff>
    </xdr:to>
    <xdr:sp macro="" textlink="">
      <xdr:nvSpPr>
        <xdr:cNvPr id="91" name="Oval 90"/>
        <xdr:cNvSpPr/>
      </xdr:nvSpPr>
      <xdr:spPr>
        <a:xfrm>
          <a:off x="5503979" y="5486562"/>
          <a:ext cx="83820" cy="425987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199094</xdr:colOff>
      <xdr:row>22</xdr:row>
      <xdr:rowOff>82769</xdr:rowOff>
    </xdr:from>
    <xdr:to>
      <xdr:col>8</xdr:col>
      <xdr:colOff>199094</xdr:colOff>
      <xdr:row>23</xdr:row>
      <xdr:rowOff>108857</xdr:rowOff>
    </xdr:to>
    <xdr:cxnSp macro="">
      <xdr:nvCxnSpPr>
        <xdr:cNvPr id="92" name="Straight Connector 91"/>
        <xdr:cNvCxnSpPr/>
      </xdr:nvCxnSpPr>
      <xdr:spPr>
        <a:xfrm flipV="1">
          <a:off x="5685494" y="5559644"/>
          <a:ext cx="0" cy="22611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889000</xdr:colOff>
      <xdr:row>22</xdr:row>
      <xdr:rowOff>87312</xdr:rowOff>
    </xdr:from>
    <xdr:to>
      <xdr:col>11</xdr:col>
      <xdr:colOff>670718</xdr:colOff>
      <xdr:row>22</xdr:row>
      <xdr:rowOff>103188</xdr:rowOff>
    </xdr:to>
    <xdr:cxnSp macro="">
      <xdr:nvCxnSpPr>
        <xdr:cNvPr id="93" name="Straight Connector 92"/>
        <xdr:cNvCxnSpPr/>
      </xdr:nvCxnSpPr>
      <xdr:spPr>
        <a:xfrm flipV="1">
          <a:off x="4870450" y="5564187"/>
          <a:ext cx="3124993" cy="1587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31881</xdr:colOff>
      <xdr:row>23</xdr:row>
      <xdr:rowOff>125186</xdr:rowOff>
    </xdr:from>
    <xdr:to>
      <xdr:col>7</xdr:col>
      <xdr:colOff>337400</xdr:colOff>
      <xdr:row>24</xdr:row>
      <xdr:rowOff>86162</xdr:rowOff>
    </xdr:to>
    <xdr:sp macro="" textlink="">
      <xdr:nvSpPr>
        <xdr:cNvPr id="94" name="TextBox 93"/>
        <xdr:cNvSpPr txBox="1"/>
      </xdr:nvSpPr>
      <xdr:spPr>
        <a:xfrm>
          <a:off x="4908681" y="5802086"/>
          <a:ext cx="305519" cy="1610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[S]</a:t>
          </a:r>
        </a:p>
      </xdr:txBody>
    </xdr:sp>
    <xdr:clientData/>
  </xdr:twoCellAnchor>
  <xdr:twoCellAnchor>
    <xdr:from>
      <xdr:col>8</xdr:col>
      <xdr:colOff>85397</xdr:colOff>
      <xdr:row>20</xdr:row>
      <xdr:rowOff>148514</xdr:rowOff>
    </xdr:from>
    <xdr:to>
      <xdr:col>10</xdr:col>
      <xdr:colOff>315312</xdr:colOff>
      <xdr:row>21</xdr:row>
      <xdr:rowOff>138068</xdr:rowOff>
    </xdr:to>
    <xdr:sp macro="" textlink="">
      <xdr:nvSpPr>
        <xdr:cNvPr id="95" name="TextBox 94"/>
        <xdr:cNvSpPr txBox="1"/>
      </xdr:nvSpPr>
      <xdr:spPr>
        <a:xfrm>
          <a:off x="5571797" y="5234864"/>
          <a:ext cx="1477690" cy="1800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6816-DJB-105/6816-DMC-B51</a:t>
          </a:r>
        </a:p>
      </xdr:txBody>
    </xdr:sp>
    <xdr:clientData/>
  </xdr:twoCellAnchor>
  <xdr:twoCellAnchor>
    <xdr:from>
      <xdr:col>10</xdr:col>
      <xdr:colOff>547687</xdr:colOff>
      <xdr:row>23</xdr:row>
      <xdr:rowOff>196453</xdr:rowOff>
    </xdr:from>
    <xdr:to>
      <xdr:col>12</xdr:col>
      <xdr:colOff>0</xdr:colOff>
      <xdr:row>23</xdr:row>
      <xdr:rowOff>196453</xdr:rowOff>
    </xdr:to>
    <xdr:cxnSp macro="">
      <xdr:nvCxnSpPr>
        <xdr:cNvPr id="96" name="Straight Connector 95"/>
        <xdr:cNvCxnSpPr/>
      </xdr:nvCxnSpPr>
      <xdr:spPr>
        <a:xfrm>
          <a:off x="7281862" y="5873353"/>
          <a:ext cx="70961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541734</xdr:colOff>
      <xdr:row>22</xdr:row>
      <xdr:rowOff>95251</xdr:rowOff>
    </xdr:from>
    <xdr:to>
      <xdr:col>10</xdr:col>
      <xdr:colOff>541735</xdr:colOff>
      <xdr:row>24</xdr:row>
      <xdr:rowOff>11906</xdr:rowOff>
    </xdr:to>
    <xdr:cxnSp macro="">
      <xdr:nvCxnSpPr>
        <xdr:cNvPr id="97" name="Straight Connector 96"/>
        <xdr:cNvCxnSpPr/>
      </xdr:nvCxnSpPr>
      <xdr:spPr>
        <a:xfrm flipV="1">
          <a:off x="7275909" y="5572126"/>
          <a:ext cx="1" cy="31670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592555</xdr:colOff>
      <xdr:row>23</xdr:row>
      <xdr:rowOff>2181</xdr:rowOff>
    </xdr:from>
    <xdr:to>
      <xdr:col>14</xdr:col>
      <xdr:colOff>0</xdr:colOff>
      <xdr:row>23</xdr:row>
      <xdr:rowOff>2181</xdr:rowOff>
    </xdr:to>
    <xdr:cxnSp macro="">
      <xdr:nvCxnSpPr>
        <xdr:cNvPr id="98" name="Straight Connector 97"/>
        <xdr:cNvCxnSpPr/>
      </xdr:nvCxnSpPr>
      <xdr:spPr>
        <a:xfrm>
          <a:off x="8584030" y="5679081"/>
          <a:ext cx="100764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8355</xdr:colOff>
      <xdr:row>22</xdr:row>
      <xdr:rowOff>168868</xdr:rowOff>
    </xdr:from>
    <xdr:to>
      <xdr:col>18</xdr:col>
      <xdr:colOff>0</xdr:colOff>
      <xdr:row>22</xdr:row>
      <xdr:rowOff>168868</xdr:rowOff>
    </xdr:to>
    <xdr:cxnSp macro="">
      <xdr:nvCxnSpPr>
        <xdr:cNvPr id="99" name="Straight Connector 98"/>
        <xdr:cNvCxnSpPr/>
      </xdr:nvCxnSpPr>
      <xdr:spPr>
        <a:xfrm>
          <a:off x="10485855" y="5645743"/>
          <a:ext cx="21823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554108</xdr:colOff>
      <xdr:row>21</xdr:row>
      <xdr:rowOff>69035</xdr:rowOff>
    </xdr:from>
    <xdr:to>
      <xdr:col>11</xdr:col>
      <xdr:colOff>570569</xdr:colOff>
      <xdr:row>22</xdr:row>
      <xdr:rowOff>51119</xdr:rowOff>
    </xdr:to>
    <xdr:sp macro="" textlink="">
      <xdr:nvSpPr>
        <xdr:cNvPr id="100" name="TextBox 99"/>
        <xdr:cNvSpPr txBox="1"/>
      </xdr:nvSpPr>
      <xdr:spPr>
        <a:xfrm>
          <a:off x="7288283" y="5345885"/>
          <a:ext cx="626061" cy="182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[BK] Pr</a:t>
          </a:r>
          <a:r>
            <a:rPr lang="en-US" sz="800" baseline="0"/>
            <a:t> 11</a:t>
          </a:r>
          <a:endParaRPr lang="en-US" sz="800"/>
        </a:p>
      </xdr:txBody>
    </xdr:sp>
    <xdr:clientData/>
  </xdr:twoCellAnchor>
  <xdr:twoCellAnchor>
    <xdr:from>
      <xdr:col>10</xdr:col>
      <xdr:colOff>571499</xdr:colOff>
      <xdr:row>22</xdr:row>
      <xdr:rowOff>108529</xdr:rowOff>
    </xdr:from>
    <xdr:to>
      <xdr:col>11</xdr:col>
      <xdr:colOff>607219</xdr:colOff>
      <xdr:row>23</xdr:row>
      <xdr:rowOff>108529</xdr:rowOff>
    </xdr:to>
    <xdr:sp macro="" textlink="">
      <xdr:nvSpPr>
        <xdr:cNvPr id="101" name="TextBox 100"/>
        <xdr:cNvSpPr txBox="1"/>
      </xdr:nvSpPr>
      <xdr:spPr>
        <a:xfrm>
          <a:off x="7305674" y="5585404"/>
          <a:ext cx="64532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[WH] </a:t>
          </a:r>
          <a:r>
            <a:rPr lang="en-US" sz="800" b="0"/>
            <a:t>Pr 11</a:t>
          </a:r>
          <a:endParaRPr lang="en-US" sz="800"/>
        </a:p>
      </xdr:txBody>
    </xdr:sp>
    <xdr:clientData/>
  </xdr:twoCellAnchor>
  <xdr:twoCellAnchor>
    <xdr:from>
      <xdr:col>4</xdr:col>
      <xdr:colOff>537251</xdr:colOff>
      <xdr:row>4</xdr:row>
      <xdr:rowOff>20226</xdr:rowOff>
    </xdr:from>
    <xdr:to>
      <xdr:col>4</xdr:col>
      <xdr:colOff>537251</xdr:colOff>
      <xdr:row>30</xdr:row>
      <xdr:rowOff>190580</xdr:rowOff>
    </xdr:to>
    <xdr:cxnSp macro="">
      <xdr:nvCxnSpPr>
        <xdr:cNvPr id="102" name="Straight Connector 101"/>
        <xdr:cNvCxnSpPr/>
      </xdr:nvCxnSpPr>
      <xdr:spPr>
        <a:xfrm>
          <a:off x="3299501" y="791751"/>
          <a:ext cx="0" cy="606632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74543</xdr:rowOff>
    </xdr:from>
    <xdr:to>
      <xdr:col>8</xdr:col>
      <xdr:colOff>22412</xdr:colOff>
      <xdr:row>8</xdr:row>
      <xdr:rowOff>100853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7CDAA33-08EA-4737-9F7E-13C9F09F3D6E}"/>
            </a:ext>
          </a:extLst>
        </xdr:cNvPr>
        <xdr:cNvCxnSpPr/>
      </xdr:nvCxnSpPr>
      <xdr:spPr>
        <a:xfrm>
          <a:off x="1752600" y="1627118"/>
          <a:ext cx="4099112" cy="2631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</xdr:row>
      <xdr:rowOff>95832</xdr:rowOff>
    </xdr:from>
    <xdr:to>
      <xdr:col>3</xdr:col>
      <xdr:colOff>5139</xdr:colOff>
      <xdr:row>10</xdr:row>
      <xdr:rowOff>145676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67458F-FD71-4AD7-837F-953A3A9B9412}"/>
            </a:ext>
          </a:extLst>
        </xdr:cNvPr>
        <xdr:cNvCxnSpPr/>
      </xdr:nvCxnSpPr>
      <xdr:spPr>
        <a:xfrm flipV="1">
          <a:off x="2324100" y="1648407"/>
          <a:ext cx="5139" cy="44989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9</xdr:row>
      <xdr:rowOff>112058</xdr:rowOff>
    </xdr:from>
    <xdr:to>
      <xdr:col>3</xdr:col>
      <xdr:colOff>1909</xdr:colOff>
      <xdr:row>9</xdr:row>
      <xdr:rowOff>112058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9E0C64E-2B7B-4E15-BA5B-26F5919976DA}"/>
            </a:ext>
          </a:extLst>
        </xdr:cNvPr>
        <xdr:cNvCxnSpPr/>
      </xdr:nvCxnSpPr>
      <xdr:spPr>
        <a:xfrm>
          <a:off x="1762125" y="1864658"/>
          <a:ext cx="56388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622788</xdr:colOff>
      <xdr:row>8</xdr:row>
      <xdr:rowOff>112595</xdr:rowOff>
    </xdr:from>
    <xdr:to>
      <xdr:col>6</xdr:col>
      <xdr:colOff>628581</xdr:colOff>
      <xdr:row>10</xdr:row>
      <xdr:rowOff>153866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6717F6-1919-44D3-BB5F-CA1FA15D2D86}"/>
            </a:ext>
          </a:extLst>
        </xdr:cNvPr>
        <xdr:cNvCxnSpPr/>
      </xdr:nvCxnSpPr>
      <xdr:spPr>
        <a:xfrm flipV="1">
          <a:off x="5223363" y="1665170"/>
          <a:ext cx="0" cy="4413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617232</xdr:colOff>
      <xdr:row>9</xdr:row>
      <xdr:rowOff>113082</xdr:rowOff>
    </xdr:from>
    <xdr:to>
      <xdr:col>8</xdr:col>
      <xdr:colOff>10594</xdr:colOff>
      <xdr:row>9</xdr:row>
      <xdr:rowOff>113082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C23E0FB-B02B-4872-8D02-566173419767}"/>
            </a:ext>
          </a:extLst>
        </xdr:cNvPr>
        <xdr:cNvCxnSpPr/>
      </xdr:nvCxnSpPr>
      <xdr:spPr>
        <a:xfrm>
          <a:off x="5217807" y="1865682"/>
          <a:ext cx="62208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104775</xdr:rowOff>
    </xdr:from>
    <xdr:to>
      <xdr:col>10</xdr:col>
      <xdr:colOff>120756</xdr:colOff>
      <xdr:row>12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6F15F24-B71E-43BD-9582-C9E6509C9E3A}"/>
            </a:ext>
          </a:extLst>
        </xdr:cNvPr>
        <xdr:cNvCxnSpPr/>
      </xdr:nvCxnSpPr>
      <xdr:spPr>
        <a:xfrm>
          <a:off x="6848475" y="2457450"/>
          <a:ext cx="720831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123412</xdr:colOff>
      <xdr:row>11</xdr:row>
      <xdr:rowOff>55593</xdr:rowOff>
    </xdr:from>
    <xdr:to>
      <xdr:col>10</xdr:col>
      <xdr:colOff>123412</xdr:colOff>
      <xdr:row>12</xdr:row>
      <xdr:rowOff>85855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3394B02-A630-4AB9-BA1D-297697CAE3E1}"/>
            </a:ext>
          </a:extLst>
        </xdr:cNvPr>
        <xdr:cNvCxnSpPr/>
      </xdr:nvCxnSpPr>
      <xdr:spPr>
        <a:xfrm flipV="1">
          <a:off x="7571962" y="2208243"/>
          <a:ext cx="0" cy="230287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1069731</xdr:colOff>
      <xdr:row>9</xdr:row>
      <xdr:rowOff>152793</xdr:rowOff>
    </xdr:from>
    <xdr:to>
      <xdr:col>10</xdr:col>
      <xdr:colOff>201874</xdr:colOff>
      <xdr:row>9</xdr:row>
      <xdr:rowOff>152793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74E2B40-D0F3-4021-8EC9-9915BAC2AF3F}"/>
            </a:ext>
          </a:extLst>
        </xdr:cNvPr>
        <xdr:cNvCxnSpPr/>
      </xdr:nvCxnSpPr>
      <xdr:spPr>
        <a:xfrm>
          <a:off x="6841881" y="1905393"/>
          <a:ext cx="808543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39565</xdr:colOff>
      <xdr:row>7</xdr:row>
      <xdr:rowOff>123237</xdr:rowOff>
    </xdr:from>
    <xdr:to>
      <xdr:col>7</xdr:col>
      <xdr:colOff>131884</xdr:colOff>
      <xdr:row>11</xdr:row>
      <xdr:rowOff>65942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314994E-993A-4818-85BF-B76F32B70AC6}"/>
            </a:ext>
          </a:extLst>
        </xdr:cNvPr>
        <xdr:cNvSpPr/>
      </xdr:nvSpPr>
      <xdr:spPr>
        <a:xfrm>
          <a:off x="5259265" y="1475787"/>
          <a:ext cx="92319" cy="742805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57876</xdr:colOff>
      <xdr:row>7</xdr:row>
      <xdr:rowOff>144869</xdr:rowOff>
    </xdr:from>
    <xdr:to>
      <xdr:col>10</xdr:col>
      <xdr:colOff>171084</xdr:colOff>
      <xdr:row>11</xdr:row>
      <xdr:rowOff>56784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771E3F6-22ED-406A-A117-D41F32BABCFF}"/>
            </a:ext>
          </a:extLst>
        </xdr:cNvPr>
        <xdr:cNvSpPr/>
      </xdr:nvSpPr>
      <xdr:spPr>
        <a:xfrm>
          <a:off x="7506426" y="1497419"/>
          <a:ext cx="113208" cy="712015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197827</xdr:colOff>
      <xdr:row>8</xdr:row>
      <xdr:rowOff>87531</xdr:rowOff>
    </xdr:from>
    <xdr:to>
      <xdr:col>10</xdr:col>
      <xdr:colOff>199094</xdr:colOff>
      <xdr:row>10</xdr:row>
      <xdr:rowOff>161193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0B75F3E-C01A-4FC1-958D-41F4B577BE1F}"/>
            </a:ext>
          </a:extLst>
        </xdr:cNvPr>
        <xdr:cNvCxnSpPr/>
      </xdr:nvCxnSpPr>
      <xdr:spPr>
        <a:xfrm flipV="1">
          <a:off x="7646377" y="1640106"/>
          <a:ext cx="1267" cy="4737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1041400</xdr:colOff>
      <xdr:row>8</xdr:row>
      <xdr:rowOff>76200</xdr:rowOff>
    </xdr:from>
    <xdr:to>
      <xdr:col>14</xdr:col>
      <xdr:colOff>2698</xdr:colOff>
      <xdr:row>8</xdr:row>
      <xdr:rowOff>87312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FAD53BE-2AD9-407C-954F-5E3A6105E3CE}"/>
            </a:ext>
          </a:extLst>
        </xdr:cNvPr>
        <xdr:cNvCxnSpPr/>
      </xdr:nvCxnSpPr>
      <xdr:spPr>
        <a:xfrm>
          <a:off x="6842125" y="1628775"/>
          <a:ext cx="3114198" cy="111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636587</xdr:colOff>
      <xdr:row>9</xdr:row>
      <xdr:rowOff>125412</xdr:rowOff>
    </xdr:from>
    <xdr:to>
      <xdr:col>13</xdr:col>
      <xdr:colOff>677649</xdr:colOff>
      <xdr:row>9</xdr:row>
      <xdr:rowOff>125412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9F04658-648A-450A-8ABF-76150251D59D}"/>
            </a:ext>
          </a:extLst>
        </xdr:cNvPr>
        <xdr:cNvCxnSpPr/>
      </xdr:nvCxnSpPr>
      <xdr:spPr>
        <a:xfrm>
          <a:off x="9304337" y="1878012"/>
          <a:ext cx="65066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2244</xdr:colOff>
      <xdr:row>8</xdr:row>
      <xdr:rowOff>89119</xdr:rowOff>
    </xdr:from>
    <xdr:to>
      <xdr:col>13</xdr:col>
      <xdr:colOff>2244</xdr:colOff>
      <xdr:row>9</xdr:row>
      <xdr:rowOff>115207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98652F6-3E0F-4979-A51B-3804C92C1239}"/>
            </a:ext>
          </a:extLst>
        </xdr:cNvPr>
        <xdr:cNvCxnSpPr/>
      </xdr:nvCxnSpPr>
      <xdr:spPr>
        <a:xfrm flipV="1">
          <a:off x="9308169" y="1641694"/>
          <a:ext cx="0" cy="22611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27214</xdr:colOff>
      <xdr:row>9</xdr:row>
      <xdr:rowOff>0</xdr:rowOff>
    </xdr:from>
    <xdr:to>
      <xdr:col>16</xdr:col>
      <xdr:colOff>0</xdr:colOff>
      <xdr:row>9</xdr:row>
      <xdr:rowOff>2181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8A50182-9EDA-487D-90EA-304031629762}"/>
            </a:ext>
          </a:extLst>
        </xdr:cNvPr>
        <xdr:cNvCxnSpPr/>
      </xdr:nvCxnSpPr>
      <xdr:spPr>
        <a:xfrm>
          <a:off x="10923814" y="1752600"/>
          <a:ext cx="963386" cy="218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927237</xdr:colOff>
      <xdr:row>8</xdr:row>
      <xdr:rowOff>181475</xdr:rowOff>
    </xdr:from>
    <xdr:to>
      <xdr:col>19</xdr:col>
      <xdr:colOff>1154206</xdr:colOff>
      <xdr:row>8</xdr:row>
      <xdr:rowOff>181475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8CC5584-AA86-451F-B803-B826B73317FC}"/>
            </a:ext>
          </a:extLst>
        </xdr:cNvPr>
        <xdr:cNvCxnSpPr/>
      </xdr:nvCxnSpPr>
      <xdr:spPr>
        <a:xfrm>
          <a:off x="12776337" y="1734050"/>
          <a:ext cx="237009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402772</xdr:colOff>
      <xdr:row>57</xdr:row>
      <xdr:rowOff>0</xdr:rowOff>
    </xdr:from>
    <xdr:to>
      <xdr:col>12</xdr:col>
      <xdr:colOff>422687</xdr:colOff>
      <xdr:row>57</xdr:row>
      <xdr:rowOff>21771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F1BED6-8C0F-4FBE-B691-143288B9EC16}"/>
            </a:ext>
          </a:extLst>
        </xdr:cNvPr>
        <xdr:cNvCxnSpPr/>
      </xdr:nvCxnSpPr>
      <xdr:spPr>
        <a:xfrm flipH="1">
          <a:off x="9099097" y="11010900"/>
          <a:ext cx="19915" cy="2177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272143</xdr:colOff>
      <xdr:row>4</xdr:row>
      <xdr:rowOff>37011</xdr:rowOff>
    </xdr:from>
    <xdr:to>
      <xdr:col>6</xdr:col>
      <xdr:colOff>285206</xdr:colOff>
      <xdr:row>56</xdr:row>
      <xdr:rowOff>163285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B78FF94-F4D0-4119-B018-DB0FC98FA1A8}"/>
            </a:ext>
          </a:extLst>
        </xdr:cNvPr>
        <xdr:cNvCxnSpPr/>
      </xdr:nvCxnSpPr>
      <xdr:spPr>
        <a:xfrm flipH="1">
          <a:off x="4882243" y="808536"/>
          <a:ext cx="13063" cy="1016562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493059</xdr:colOff>
      <xdr:row>3</xdr:row>
      <xdr:rowOff>189819</xdr:rowOff>
    </xdr:from>
    <xdr:to>
      <xdr:col>12</xdr:col>
      <xdr:colOff>496540</xdr:colOff>
      <xdr:row>57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5F0E5D0-7C8B-4C25-9939-DA10CFFBF2AF}"/>
            </a:ext>
          </a:extLst>
        </xdr:cNvPr>
        <xdr:cNvCxnSpPr/>
      </xdr:nvCxnSpPr>
      <xdr:spPr>
        <a:xfrm flipH="1">
          <a:off x="9189384" y="761319"/>
          <a:ext cx="3481" cy="1024958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10986</xdr:colOff>
      <xdr:row>22</xdr:row>
      <xdr:rowOff>89647</xdr:rowOff>
    </xdr:from>
    <xdr:to>
      <xdr:col>7</xdr:col>
      <xdr:colOff>627529</xdr:colOff>
      <xdr:row>22</xdr:row>
      <xdr:rowOff>103556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836291F-548F-4CBB-803B-C0FB0A332832}"/>
            </a:ext>
          </a:extLst>
        </xdr:cNvPr>
        <xdr:cNvCxnSpPr/>
      </xdr:nvCxnSpPr>
      <xdr:spPr>
        <a:xfrm flipV="1">
          <a:off x="1763586" y="4356847"/>
          <a:ext cx="4064593" cy="1390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507206</xdr:colOff>
      <xdr:row>22</xdr:row>
      <xdr:rowOff>93544</xdr:rowOff>
    </xdr:from>
    <xdr:to>
      <xdr:col>6</xdr:col>
      <xdr:colOff>515563</xdr:colOff>
      <xdr:row>25</xdr:row>
      <xdr:rowOff>170044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CBB6D91-BE52-4FE9-B467-FA02EACD9DCE}"/>
            </a:ext>
          </a:extLst>
        </xdr:cNvPr>
        <xdr:cNvCxnSpPr/>
      </xdr:nvCxnSpPr>
      <xdr:spPr>
        <a:xfrm flipV="1">
          <a:off x="5117306" y="4360744"/>
          <a:ext cx="8357" cy="6765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23</xdr:row>
      <xdr:rowOff>141657</xdr:rowOff>
    </xdr:from>
    <xdr:to>
      <xdr:col>8</xdr:col>
      <xdr:colOff>10950</xdr:colOff>
      <xdr:row>23</xdr:row>
      <xdr:rowOff>142875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F6A6944-CB45-4F4E-A0A1-A5A4E8D079C7}"/>
            </a:ext>
          </a:extLst>
        </xdr:cNvPr>
        <xdr:cNvCxnSpPr/>
      </xdr:nvCxnSpPr>
      <xdr:spPr>
        <a:xfrm flipV="1">
          <a:off x="5124450" y="4608882"/>
          <a:ext cx="715800" cy="1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1075786</xdr:colOff>
      <xdr:row>28</xdr:row>
      <xdr:rowOff>105867</xdr:rowOff>
    </xdr:from>
    <xdr:to>
      <xdr:col>10</xdr:col>
      <xdr:colOff>107761</xdr:colOff>
      <xdr:row>28</xdr:row>
      <xdr:rowOff>105867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3EC7CCC-5A23-4BFF-8C8D-855C13C85E08}"/>
            </a:ext>
          </a:extLst>
        </xdr:cNvPr>
        <xdr:cNvCxnSpPr/>
      </xdr:nvCxnSpPr>
      <xdr:spPr>
        <a:xfrm>
          <a:off x="6838411" y="5573217"/>
          <a:ext cx="71790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113887</xdr:colOff>
      <xdr:row>26</xdr:row>
      <xdr:rowOff>104775</xdr:rowOff>
    </xdr:from>
    <xdr:to>
      <xdr:col>10</xdr:col>
      <xdr:colOff>114300</xdr:colOff>
      <xdr:row>28</xdr:row>
      <xdr:rowOff>103059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C6DDC9E-E25B-44DD-84DC-58ABFF179124}"/>
            </a:ext>
          </a:extLst>
        </xdr:cNvPr>
        <xdr:cNvCxnSpPr/>
      </xdr:nvCxnSpPr>
      <xdr:spPr>
        <a:xfrm flipV="1">
          <a:off x="7562437" y="5172075"/>
          <a:ext cx="413" cy="398334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504824</xdr:colOff>
      <xdr:row>24</xdr:row>
      <xdr:rowOff>151892</xdr:rowOff>
    </xdr:from>
    <xdr:to>
      <xdr:col>8</xdr:col>
      <xdr:colOff>1424</xdr:colOff>
      <xdr:row>24</xdr:row>
      <xdr:rowOff>152400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C896B7E-DC48-4ADE-8F2E-AAF6A41EE828}"/>
            </a:ext>
          </a:extLst>
        </xdr:cNvPr>
        <xdr:cNvCxnSpPr/>
      </xdr:nvCxnSpPr>
      <xdr:spPr>
        <a:xfrm flipV="1">
          <a:off x="5114924" y="4819142"/>
          <a:ext cx="715800" cy="50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144734</xdr:rowOff>
    </xdr:from>
    <xdr:to>
      <xdr:col>10</xdr:col>
      <xdr:colOff>209201</xdr:colOff>
      <xdr:row>23</xdr:row>
      <xdr:rowOff>144734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CC749E4-65CF-482F-9A82-49DA7116FFCA}"/>
            </a:ext>
          </a:extLst>
        </xdr:cNvPr>
        <xdr:cNvCxnSpPr/>
      </xdr:nvCxnSpPr>
      <xdr:spPr>
        <a:xfrm>
          <a:off x="6838950" y="4611959"/>
          <a:ext cx="81880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21</xdr:row>
      <xdr:rowOff>103821</xdr:rowOff>
    </xdr:from>
    <xdr:to>
      <xdr:col>6</xdr:col>
      <xdr:colOff>638175</xdr:colOff>
      <xdr:row>26</xdr:row>
      <xdr:rowOff>123824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241DD34-3FC2-45E0-B247-BB148DFC61D1}"/>
            </a:ext>
          </a:extLst>
        </xdr:cNvPr>
        <xdr:cNvSpPr/>
      </xdr:nvSpPr>
      <xdr:spPr>
        <a:xfrm>
          <a:off x="5153025" y="4151946"/>
          <a:ext cx="66675" cy="1039178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55679</xdr:colOff>
      <xdr:row>21</xdr:row>
      <xdr:rowOff>143037</xdr:rowOff>
    </xdr:from>
    <xdr:to>
      <xdr:col>10</xdr:col>
      <xdr:colOff>171450</xdr:colOff>
      <xdr:row>26</xdr:row>
      <xdr:rowOff>95250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30E7285-BF85-4394-A4C8-51BF0FD05CE6}"/>
            </a:ext>
          </a:extLst>
        </xdr:cNvPr>
        <xdr:cNvSpPr/>
      </xdr:nvSpPr>
      <xdr:spPr>
        <a:xfrm>
          <a:off x="7504229" y="4191162"/>
          <a:ext cx="115771" cy="971388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209550</xdr:colOff>
      <xdr:row>22</xdr:row>
      <xdr:rowOff>104775</xdr:rowOff>
    </xdr:from>
    <xdr:to>
      <xdr:col>10</xdr:col>
      <xdr:colOff>219075</xdr:colOff>
      <xdr:row>25</xdr:row>
      <xdr:rowOff>152400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790B90-1FB0-429F-88CD-3BAB483FD533}"/>
            </a:ext>
          </a:extLst>
        </xdr:cNvPr>
        <xdr:cNvCxnSpPr/>
      </xdr:nvCxnSpPr>
      <xdr:spPr>
        <a:xfrm flipH="1" flipV="1">
          <a:off x="7658100" y="4371975"/>
          <a:ext cx="9525" cy="647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1055687</xdr:colOff>
      <xdr:row>22</xdr:row>
      <xdr:rowOff>95250</xdr:rowOff>
    </xdr:from>
    <xdr:to>
      <xdr:col>14</xdr:col>
      <xdr:colOff>16985</xdr:colOff>
      <xdr:row>22</xdr:row>
      <xdr:rowOff>106362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00833B9-6A37-4195-9036-C3D682BD478F}"/>
            </a:ext>
          </a:extLst>
        </xdr:cNvPr>
        <xdr:cNvCxnSpPr/>
      </xdr:nvCxnSpPr>
      <xdr:spPr>
        <a:xfrm>
          <a:off x="6837362" y="4362450"/>
          <a:ext cx="3133248" cy="1111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646112</xdr:colOff>
      <xdr:row>23</xdr:row>
      <xdr:rowOff>125412</xdr:rowOff>
    </xdr:from>
    <xdr:to>
      <xdr:col>13</xdr:col>
      <xdr:colOff>687174</xdr:colOff>
      <xdr:row>23</xdr:row>
      <xdr:rowOff>125412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97964DA6-6F16-4340-91DB-E53317744D82}"/>
            </a:ext>
          </a:extLst>
        </xdr:cNvPr>
        <xdr:cNvCxnSpPr/>
      </xdr:nvCxnSpPr>
      <xdr:spPr>
        <a:xfrm>
          <a:off x="9304337" y="4592637"/>
          <a:ext cx="65066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2244</xdr:colOff>
      <xdr:row>22</xdr:row>
      <xdr:rowOff>93881</xdr:rowOff>
    </xdr:from>
    <xdr:to>
      <xdr:col>13</xdr:col>
      <xdr:colOff>9525</xdr:colOff>
      <xdr:row>25</xdr:row>
      <xdr:rowOff>152400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A99186A-9B65-4876-A2AC-231FC0CC8845}"/>
            </a:ext>
          </a:extLst>
        </xdr:cNvPr>
        <xdr:cNvCxnSpPr/>
      </xdr:nvCxnSpPr>
      <xdr:spPr>
        <a:xfrm flipH="1" flipV="1">
          <a:off x="9308169" y="4361081"/>
          <a:ext cx="7281" cy="65859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592555</xdr:colOff>
      <xdr:row>23</xdr:row>
      <xdr:rowOff>2181</xdr:rowOff>
    </xdr:from>
    <xdr:to>
      <xdr:col>16</xdr:col>
      <xdr:colOff>0</xdr:colOff>
      <xdr:row>23</xdr:row>
      <xdr:rowOff>2181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B8387C79-D0D6-4B2C-84F2-5BCADB59F949}"/>
            </a:ext>
          </a:extLst>
        </xdr:cNvPr>
        <xdr:cNvCxnSpPr/>
      </xdr:nvCxnSpPr>
      <xdr:spPr>
        <a:xfrm>
          <a:off x="10546180" y="4469406"/>
          <a:ext cx="13410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927237</xdr:colOff>
      <xdr:row>22</xdr:row>
      <xdr:rowOff>181475</xdr:rowOff>
    </xdr:from>
    <xdr:to>
      <xdr:col>19</xdr:col>
      <xdr:colOff>1154206</xdr:colOff>
      <xdr:row>22</xdr:row>
      <xdr:rowOff>181475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771C68FF-ECDF-468C-9B97-52A93E3C73F2}"/>
            </a:ext>
          </a:extLst>
        </xdr:cNvPr>
        <xdr:cNvCxnSpPr/>
      </xdr:nvCxnSpPr>
      <xdr:spPr>
        <a:xfrm>
          <a:off x="12776337" y="4448675"/>
          <a:ext cx="237009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25</xdr:row>
      <xdr:rowOff>152400</xdr:rowOff>
    </xdr:from>
    <xdr:to>
      <xdr:col>8</xdr:col>
      <xdr:colOff>10950</xdr:colOff>
      <xdr:row>25</xdr:row>
      <xdr:rowOff>161417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A942038-4873-4744-8361-CA41F20A6158}"/>
            </a:ext>
          </a:extLst>
        </xdr:cNvPr>
        <xdr:cNvCxnSpPr/>
      </xdr:nvCxnSpPr>
      <xdr:spPr>
        <a:xfrm>
          <a:off x="5124450" y="5019675"/>
          <a:ext cx="715800" cy="901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4542</xdr:colOff>
      <xdr:row>23</xdr:row>
      <xdr:rowOff>143129</xdr:rowOff>
    </xdr:from>
    <xdr:to>
      <xdr:col>5</xdr:col>
      <xdr:colOff>649941</xdr:colOff>
      <xdr:row>23</xdr:row>
      <xdr:rowOff>145677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886F3336-C53D-4772-9B8D-8AFB5C32A346}"/>
            </a:ext>
          </a:extLst>
        </xdr:cNvPr>
        <xdr:cNvCxnSpPr/>
      </xdr:nvCxnSpPr>
      <xdr:spPr>
        <a:xfrm>
          <a:off x="1757142" y="4610354"/>
          <a:ext cx="2693274" cy="254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1253158</xdr:colOff>
      <xdr:row>24</xdr:row>
      <xdr:rowOff>131923</xdr:rowOff>
    </xdr:from>
    <xdr:to>
      <xdr:col>5</xdr:col>
      <xdr:colOff>638736</xdr:colOff>
      <xdr:row>24</xdr:row>
      <xdr:rowOff>139233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8DBAB00-7059-4025-90DF-008BB24B7113}"/>
            </a:ext>
          </a:extLst>
        </xdr:cNvPr>
        <xdr:cNvCxnSpPr/>
      </xdr:nvCxnSpPr>
      <xdr:spPr>
        <a:xfrm>
          <a:off x="1748458" y="4799173"/>
          <a:ext cx="2690753" cy="731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2861</xdr:colOff>
      <xdr:row>25</xdr:row>
      <xdr:rowOff>120718</xdr:rowOff>
    </xdr:from>
    <xdr:to>
      <xdr:col>5</xdr:col>
      <xdr:colOff>638736</xdr:colOff>
      <xdr:row>25</xdr:row>
      <xdr:rowOff>132790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61F90534-F2BA-4D1F-80E0-BC93E4AD39E8}"/>
            </a:ext>
          </a:extLst>
        </xdr:cNvPr>
        <xdr:cNvCxnSpPr/>
      </xdr:nvCxnSpPr>
      <xdr:spPr>
        <a:xfrm>
          <a:off x="1755461" y="4987993"/>
          <a:ext cx="2683750" cy="1207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648637</xdr:colOff>
      <xdr:row>22</xdr:row>
      <xdr:rowOff>116563</xdr:rowOff>
    </xdr:from>
    <xdr:to>
      <xdr:col>5</xdr:col>
      <xdr:colOff>649941</xdr:colOff>
      <xdr:row>25</xdr:row>
      <xdr:rowOff>134471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BC2C0C0-31E0-4535-BC52-1F3A4186E963}"/>
            </a:ext>
          </a:extLst>
        </xdr:cNvPr>
        <xdr:cNvCxnSpPr/>
      </xdr:nvCxnSpPr>
      <xdr:spPr>
        <a:xfrm flipH="1" flipV="1">
          <a:off x="4449112" y="4383763"/>
          <a:ext cx="1304" cy="617983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1057275</xdr:colOff>
      <xdr:row>24</xdr:row>
      <xdr:rowOff>144734</xdr:rowOff>
    </xdr:from>
    <xdr:to>
      <xdr:col>10</xdr:col>
      <xdr:colOff>190151</xdr:colOff>
      <xdr:row>24</xdr:row>
      <xdr:rowOff>144734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F33378F2-9B12-426D-858B-1F1F5D70FC92}"/>
            </a:ext>
          </a:extLst>
        </xdr:cNvPr>
        <xdr:cNvCxnSpPr/>
      </xdr:nvCxnSpPr>
      <xdr:spPr>
        <a:xfrm>
          <a:off x="6838950" y="4811984"/>
          <a:ext cx="79975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25</xdr:row>
      <xdr:rowOff>144734</xdr:rowOff>
    </xdr:from>
    <xdr:to>
      <xdr:col>10</xdr:col>
      <xdr:colOff>209201</xdr:colOff>
      <xdr:row>25</xdr:row>
      <xdr:rowOff>144734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F94FFB1-41DC-4C4D-A2A8-DFDB04F6391A}"/>
            </a:ext>
          </a:extLst>
        </xdr:cNvPr>
        <xdr:cNvCxnSpPr/>
      </xdr:nvCxnSpPr>
      <xdr:spPr>
        <a:xfrm>
          <a:off x="6838950" y="5012009"/>
          <a:ext cx="81880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2565</xdr:colOff>
      <xdr:row>10</xdr:row>
      <xdr:rowOff>171111</xdr:rowOff>
    </xdr:from>
    <xdr:to>
      <xdr:col>10</xdr:col>
      <xdr:colOff>211766</xdr:colOff>
      <xdr:row>10</xdr:row>
      <xdr:rowOff>171111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438A68B-EE7A-4FC3-A8E9-8FDE565AB1FE}"/>
            </a:ext>
          </a:extLst>
        </xdr:cNvPr>
        <xdr:cNvCxnSpPr/>
      </xdr:nvCxnSpPr>
      <xdr:spPr>
        <a:xfrm>
          <a:off x="6841515" y="2123736"/>
          <a:ext cx="81880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611736</xdr:colOff>
      <xdr:row>10</xdr:row>
      <xdr:rowOff>155578</xdr:rowOff>
    </xdr:from>
    <xdr:to>
      <xdr:col>8</xdr:col>
      <xdr:colOff>5098</xdr:colOff>
      <xdr:row>10</xdr:row>
      <xdr:rowOff>155578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6BE3464-64A1-4DC0-A8F2-AC68CF120255}"/>
            </a:ext>
          </a:extLst>
        </xdr:cNvPr>
        <xdr:cNvCxnSpPr/>
      </xdr:nvCxnSpPr>
      <xdr:spPr>
        <a:xfrm>
          <a:off x="5221836" y="2108203"/>
          <a:ext cx="61256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87510</xdr:colOff>
      <xdr:row>11</xdr:row>
      <xdr:rowOff>82702</xdr:rowOff>
    </xdr:from>
    <xdr:to>
      <xdr:col>7</xdr:col>
      <xdr:colOff>87510</xdr:colOff>
      <xdr:row>12</xdr:row>
      <xdr:rowOff>112964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2CE7DB1-7E69-4929-AB17-E4CA8CD16F76}"/>
            </a:ext>
          </a:extLst>
        </xdr:cNvPr>
        <xdr:cNvCxnSpPr/>
      </xdr:nvCxnSpPr>
      <xdr:spPr>
        <a:xfrm flipV="1">
          <a:off x="5307210" y="2235352"/>
          <a:ext cx="0" cy="230287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93418</xdr:colOff>
      <xdr:row>12</xdr:row>
      <xdr:rowOff>122725</xdr:rowOff>
    </xdr:from>
    <xdr:to>
      <xdr:col>7</xdr:col>
      <xdr:colOff>633418</xdr:colOff>
      <xdr:row>12</xdr:row>
      <xdr:rowOff>122725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B6FDAD4-22A7-49F2-87FA-9E61BB41640D}"/>
            </a:ext>
          </a:extLst>
        </xdr:cNvPr>
        <xdr:cNvCxnSpPr/>
      </xdr:nvCxnSpPr>
      <xdr:spPr>
        <a:xfrm>
          <a:off x="5313118" y="2475400"/>
          <a:ext cx="511425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26</xdr:row>
      <xdr:rowOff>114300</xdr:rowOff>
    </xdr:from>
    <xdr:to>
      <xdr:col>6</xdr:col>
      <xdr:colOff>600075</xdr:colOff>
      <xdr:row>28</xdr:row>
      <xdr:rowOff>93300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2166E7F-4A50-431D-882B-F6CE4D25EAF2}"/>
            </a:ext>
          </a:extLst>
        </xdr:cNvPr>
        <xdr:cNvCxnSpPr/>
      </xdr:nvCxnSpPr>
      <xdr:spPr>
        <a:xfrm flipV="1">
          <a:off x="5210175" y="5181600"/>
          <a:ext cx="0" cy="37905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609061</xdr:colOff>
      <xdr:row>28</xdr:row>
      <xdr:rowOff>105867</xdr:rowOff>
    </xdr:from>
    <xdr:to>
      <xdr:col>7</xdr:col>
      <xdr:colOff>645361</xdr:colOff>
      <xdr:row>28</xdr:row>
      <xdr:rowOff>105867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00F0215-C409-4347-AD50-AB6A0A062FA5}"/>
            </a:ext>
          </a:extLst>
        </xdr:cNvPr>
        <xdr:cNvCxnSpPr/>
      </xdr:nvCxnSpPr>
      <xdr:spPr>
        <a:xfrm>
          <a:off x="5219161" y="5573217"/>
          <a:ext cx="60780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24</xdr:row>
      <xdr:rowOff>144734</xdr:rowOff>
    </xdr:from>
    <xdr:to>
      <xdr:col>10</xdr:col>
      <xdr:colOff>209201</xdr:colOff>
      <xdr:row>24</xdr:row>
      <xdr:rowOff>144734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721B351-276E-4BB0-9C87-787FF318B21F}"/>
            </a:ext>
          </a:extLst>
        </xdr:cNvPr>
        <xdr:cNvCxnSpPr/>
      </xdr:nvCxnSpPr>
      <xdr:spPr>
        <a:xfrm>
          <a:off x="6838950" y="4811984"/>
          <a:ext cx="81880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25</xdr:row>
      <xdr:rowOff>144734</xdr:rowOff>
    </xdr:from>
    <xdr:to>
      <xdr:col>10</xdr:col>
      <xdr:colOff>209201</xdr:colOff>
      <xdr:row>25</xdr:row>
      <xdr:rowOff>144734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78C68F8-DE50-4A10-B987-41FB5A22C69C}"/>
            </a:ext>
          </a:extLst>
        </xdr:cNvPr>
        <xdr:cNvCxnSpPr/>
      </xdr:nvCxnSpPr>
      <xdr:spPr>
        <a:xfrm>
          <a:off x="6838950" y="5012009"/>
          <a:ext cx="81880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7937</xdr:colOff>
      <xdr:row>24</xdr:row>
      <xdr:rowOff>144462</xdr:rowOff>
    </xdr:from>
    <xdr:to>
      <xdr:col>14</xdr:col>
      <xdr:colOff>1374</xdr:colOff>
      <xdr:row>24</xdr:row>
      <xdr:rowOff>144462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79E4FA5-82C5-48E7-9D6A-DEB41F97CEF8}"/>
            </a:ext>
          </a:extLst>
        </xdr:cNvPr>
        <xdr:cNvCxnSpPr/>
      </xdr:nvCxnSpPr>
      <xdr:spPr>
        <a:xfrm>
          <a:off x="9313862" y="4811712"/>
          <a:ext cx="64113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7937</xdr:colOff>
      <xdr:row>25</xdr:row>
      <xdr:rowOff>134937</xdr:rowOff>
    </xdr:from>
    <xdr:to>
      <xdr:col>14</xdr:col>
      <xdr:colOff>1374</xdr:colOff>
      <xdr:row>25</xdr:row>
      <xdr:rowOff>134937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501557A-C0BD-444E-89A0-51CBC02A18B3}"/>
            </a:ext>
          </a:extLst>
        </xdr:cNvPr>
        <xdr:cNvCxnSpPr/>
      </xdr:nvCxnSpPr>
      <xdr:spPr>
        <a:xfrm>
          <a:off x="9313862" y="5002212"/>
          <a:ext cx="64113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1065033</xdr:colOff>
      <xdr:row>10</xdr:row>
      <xdr:rowOff>131452</xdr:rowOff>
    </xdr:from>
    <xdr:to>
      <xdr:col>2</xdr:col>
      <xdr:colOff>591532</xdr:colOff>
      <xdr:row>10</xdr:row>
      <xdr:rowOff>131452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4A43A67-8010-4556-A556-137461A6C2F5}"/>
            </a:ext>
          </a:extLst>
        </xdr:cNvPr>
        <xdr:cNvCxnSpPr/>
      </xdr:nvCxnSpPr>
      <xdr:spPr>
        <a:xfrm>
          <a:off x="1750833" y="2084077"/>
          <a:ext cx="57424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116542</xdr:colOff>
      <xdr:row>11</xdr:row>
      <xdr:rowOff>125505</xdr:rowOff>
    </xdr:from>
    <xdr:to>
      <xdr:col>14</xdr:col>
      <xdr:colOff>0</xdr:colOff>
      <xdr:row>11</xdr:row>
      <xdr:rowOff>125507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9422467" y="2278155"/>
          <a:ext cx="531158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83047</xdr:colOff>
      <xdr:row>7</xdr:row>
      <xdr:rowOff>8965</xdr:rowOff>
    </xdr:from>
    <xdr:to>
      <xdr:col>13</xdr:col>
      <xdr:colOff>139987</xdr:colOff>
      <xdr:row>10</xdr:row>
      <xdr:rowOff>105022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9388972" y="1361515"/>
          <a:ext cx="56940" cy="696132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111517</xdr:colOff>
      <xdr:row>10</xdr:row>
      <xdr:rowOff>105022</xdr:rowOff>
    </xdr:from>
    <xdr:to>
      <xdr:col>13</xdr:col>
      <xdr:colOff>116773</xdr:colOff>
      <xdr:row>11</xdr:row>
      <xdr:rowOff>139393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endCxn id="55" idx="4"/>
        </xdr:cNvCxnSpPr>
      </xdr:nvCxnSpPr>
      <xdr:spPr>
        <a:xfrm flipH="1" flipV="1">
          <a:off x="9417442" y="2057647"/>
          <a:ext cx="5256" cy="23439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26894</xdr:colOff>
      <xdr:row>27</xdr:row>
      <xdr:rowOff>125408</xdr:rowOff>
    </xdr:from>
    <xdr:to>
      <xdr:col>14</xdr:col>
      <xdr:colOff>0</xdr:colOff>
      <xdr:row>27</xdr:row>
      <xdr:rowOff>125506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9332819" y="5392733"/>
          <a:ext cx="620806" cy="9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38223</xdr:colOff>
      <xdr:row>22</xdr:row>
      <xdr:rowOff>0</xdr:rowOff>
    </xdr:from>
    <xdr:to>
      <xdr:col>13</xdr:col>
      <xdr:colOff>89647</xdr:colOff>
      <xdr:row>26</xdr:row>
      <xdr:rowOff>95187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9344148" y="4267200"/>
          <a:ext cx="51424" cy="895287"/>
        </a:xfrm>
        <a:prstGeom prst="ellipse">
          <a:avLst/>
        </a:prstGeom>
        <a:noFill/>
        <a:ln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63935</xdr:colOff>
      <xdr:row>26</xdr:row>
      <xdr:rowOff>95187</xdr:rowOff>
    </xdr:from>
    <xdr:to>
      <xdr:col>13</xdr:col>
      <xdr:colOff>71949</xdr:colOff>
      <xdr:row>27</xdr:row>
      <xdr:rowOff>128279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endCxn id="58" idx="4"/>
        </xdr:cNvCxnSpPr>
      </xdr:nvCxnSpPr>
      <xdr:spPr>
        <a:xfrm flipH="1" flipV="1">
          <a:off x="9369860" y="5162487"/>
          <a:ext cx="8014" cy="23311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BWSSB\Drawings%20and%20Documents\Process\Design%20calculations\Biopur%20Rev2.1_av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O&amp;M%20-%20FINAL\VB-294-O&amp;M%20CO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Bid%20Calculation%20O&amp;M%20%20(beta-vers)%20E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DELHI%20JAL%20BOARD\FRA_DJB%20O&amp;M24.12.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O&amp;M%20-%20FINAL\FRA_DJB%20O&amp;M24.12.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Pumps"/>
      <sheetName val="Sheet1"/>
      <sheetName val="ref formula TV"/>
      <sheetName val="Sheet2"/>
      <sheetName val="Sheet3"/>
      <sheetName val="pt-cw"/>
      <sheetName val="DGT-I support"/>
      <sheetName val="Data"/>
      <sheetName val="BB ATV A 131 "/>
      <sheetName val="DM tANK Allow"/>
      <sheetName val="#REF!"/>
      <sheetName val="Legal Risk Analysis"/>
      <sheetName val="Summary"/>
      <sheetName val="valsch"/>
      <sheetName val="OverviewBarmer"/>
      <sheetName val="PG-DIA.SEA"/>
      <sheetName val="CALCULATION   CAG"/>
      <sheetName val="MixBed"/>
      <sheetName val="PRECAST lightconc_II"/>
      <sheetName val="Boq"/>
      <sheetName val="KONZ_XLS"/>
      <sheetName val="ref_formula_TV"/>
      <sheetName val="DGT-I_support"/>
      <sheetName val="BB_ATV_A_131_"/>
      <sheetName val="DM_tANK_Allow"/>
      <sheetName val="Legal_Risk_Analysis"/>
      <sheetName val="CALCULATION___CAG"/>
      <sheetName val="KONZ_XLS1"/>
      <sheetName val="ref_formula_TV1"/>
      <sheetName val="DGT-I_support1"/>
      <sheetName val="BB_ATV_A_131_1"/>
      <sheetName val="DM_tANK_Allow1"/>
      <sheetName val="Legal_Risk_Analysis1"/>
      <sheetName val="CALCULATION___CAG1"/>
      <sheetName val="KONZ_XLS2"/>
      <sheetName val="ref_formula_TV2"/>
      <sheetName val="DGT-I_support2"/>
      <sheetName val="BB_ATV_A_131_2"/>
      <sheetName val="DM_tANK_Allow2"/>
      <sheetName val="Legal_Risk_Analysis2"/>
      <sheetName val="CALCULATION___CAG2"/>
      <sheetName val="KONZ_XLS3"/>
      <sheetName val="ref_formula_TV3"/>
      <sheetName val="DGT-I_support3"/>
      <sheetName val="BB_ATV_A_131_3"/>
      <sheetName val="DM_tANK_Allow3"/>
      <sheetName val="Legal_Risk_Analysis3"/>
      <sheetName val="CALCULATION___CAG3"/>
      <sheetName val="KONZ_XLS4"/>
      <sheetName val="ref_formula_TV4"/>
      <sheetName val="DGT-I_support4"/>
      <sheetName val="BB_ATV_A_131_4"/>
      <sheetName val="DM_tANK_Allow4"/>
      <sheetName val="Legal_Risk_Analysis4"/>
      <sheetName val="CALCULATION___CAG4"/>
      <sheetName val="KONZ_XLS5"/>
      <sheetName val="ref_formula_TV5"/>
      <sheetName val="DGT-I_support5"/>
      <sheetName val="BB_ATV_A_131_5"/>
      <sheetName val="DM_tANK_Allow5"/>
      <sheetName val="Legal_Risk_Analysis5"/>
      <sheetName val="CALCULATION___CAG5"/>
      <sheetName val="KONZ_XLS6"/>
      <sheetName val="ref_formula_TV6"/>
      <sheetName val="DGT-I_support6"/>
      <sheetName val="BB_ATV_A_131_6"/>
      <sheetName val="DM_tANK_Allow6"/>
      <sheetName val="Legal_Risk_Analysis6"/>
      <sheetName val="CALCULATION___CAG6"/>
      <sheetName val="KONZ_XLS7"/>
      <sheetName val="ref_formula_TV7"/>
      <sheetName val="DGT-I_support7"/>
      <sheetName val="BB_ATV_A_131_7"/>
      <sheetName val="DM_tANK_Allow7"/>
      <sheetName val="Legal_Risk_Analysis7"/>
      <sheetName val="CALCULATION___CAG7"/>
      <sheetName val="KONZ_XLS8"/>
      <sheetName val="ref_formula_TV8"/>
      <sheetName val="DGT-I_support8"/>
      <sheetName val="BB_ATV_A_131_8"/>
      <sheetName val="DM_tANK_Allow8"/>
      <sheetName val="Legal_Risk_Analysis8"/>
      <sheetName val="CALCULATION___CAG8"/>
      <sheetName val="KONZ_XLS10"/>
      <sheetName val="ref_formula_TV10"/>
      <sheetName val="DGT-I_support10"/>
      <sheetName val="BB_ATV_A_131_10"/>
      <sheetName val="DM_tANK_Allow10"/>
      <sheetName val="Legal_Risk_Analysis10"/>
      <sheetName val="CALCULATION___CAG10"/>
      <sheetName val="KONZ_XLS9"/>
      <sheetName val="ref_formula_TV9"/>
      <sheetName val="DGT-I_support9"/>
      <sheetName val="BB_ATV_A_131_9"/>
      <sheetName val="DM_tANK_Allow9"/>
      <sheetName val="Legal_Risk_Analysis9"/>
      <sheetName val="CALCULATION___CAG9"/>
      <sheetName val="Param"/>
      <sheetName val="PART C"/>
      <sheetName val="PRECAST lightconc-II"/>
      <sheetName val="Trail Balance"/>
      <sheetName val="30MGD"/>
      <sheetName val="INPUT"/>
      <sheetName val="Densadeg-common"/>
      <sheetName val="Design basis-C"/>
      <sheetName val="Load Details(B2)"/>
      <sheetName val="Sheet4"/>
      <sheetName val="STRIP Sizing"/>
      <sheetName val="Design"/>
      <sheetName val="Report"/>
      <sheetName val="SPT vs PHI"/>
      <sheetName val="SHEET6"/>
      <sheetName val="Biopur Rev2.1_avg"/>
      <sheetName val="KONZ_XLS11"/>
      <sheetName val="ref_formula_TV11"/>
      <sheetName val="DGT-I_support11"/>
      <sheetName val="BB_ATV_A_131_11"/>
      <sheetName val="DM_tANK_Allow11"/>
      <sheetName val="Legal_Risk_Analysis11"/>
      <sheetName val="CALCULATION___CAG11"/>
      <sheetName val="PG-DIA_SEA"/>
      <sheetName val="PRECAST_lightconc_II"/>
      <sheetName val="B4&amp;5 effic"/>
      <sheetName val="production"/>
      <sheetName val="Index"/>
      <sheetName val="Datas"/>
      <sheetName val="Co-Inf"/>
      <sheetName val="Intro"/>
      <sheetName val="PMCC3"/>
      <sheetName val="1-Pop Proj"/>
      <sheetName val="Bechtel Norms"/>
      <sheetName val="COST DATA 1"/>
      <sheetName val="TECH DATA"/>
      <sheetName val="COST DATA 2"/>
      <sheetName val="Abstract"/>
      <sheetName val="load data"/>
      <sheetName val="MCC IC"/>
      <sheetName val="EQP Master"/>
      <sheetName val="CAL"/>
      <sheetName val="Process"/>
      <sheetName val="DSLP"/>
      <sheetName val="INTROD"/>
      <sheetName val="BB"/>
      <sheetName val="20"/>
      <sheetName val="C"/>
      <sheetName val="30"/>
      <sheetName val="15"/>
      <sheetName val="UV"/>
      <sheetName val="steel-gr"/>
      <sheetName val="Assump (Time) - Project Co."/>
      <sheetName val="draft"/>
      <sheetName val="DESBASTE"/>
      <sheetName val="BM"/>
      <sheetName val="DESBAST"/>
      <sheetName val="for Cost report ref"/>
      <sheetName val="LIST"/>
      <sheetName val="Equiv.Length"/>
      <sheetName val="Fee Rate Summary"/>
      <sheetName val="Bed Class"/>
      <sheetName val="Cd"/>
      <sheetName val="4B"/>
      <sheetName val="More 2 LM"/>
      <sheetName val="DSCR"/>
      <sheetName val="IDC_Phase_I"/>
      <sheetName val="LD"/>
      <sheetName val="boq_E"/>
      <sheetName val="boq_M"/>
      <sheetName val="boq_Ms"/>
      <sheetName val="boq_P"/>
      <sheetName val="boq_C"/>
      <sheetName val="PRECAST_lightconc_II1"/>
      <sheetName val="PRECAST_lightconc_II2"/>
      <sheetName val="PRECAST_lightconc_II3"/>
      <sheetName val="PRECAST_lightconc_II4"/>
      <sheetName val="IMPACT"/>
      <sheetName val="HDPE"/>
      <sheetName val="DI"/>
      <sheetName val="pvc"/>
      <sheetName val="Material"/>
      <sheetName val="IS 3370-DsnTable 9 &amp; 10"/>
      <sheetName val="IS 3370-DsnTable 12 &amp; 13"/>
      <sheetName val="Table 21-IS3370-Pt4"/>
      <sheetName val="Tables"/>
      <sheetName val="Rates"/>
      <sheetName val="Constants"/>
      <sheetName val="basdat"/>
      <sheetName val="Gen Info"/>
      <sheetName val="t_prsr"/>
      <sheetName val="id"/>
      <sheetName val="wh"/>
      <sheetName val="Flood &amp; Lift"/>
      <sheetName val="처리단락"/>
      <sheetName val="analysis"/>
      <sheetName val=" AT-1-220 "/>
      <sheetName val=" BC-220"/>
      <sheetName val="IS 9523-KAV-DI"/>
      <sheetName val="Scour Valve DI- Short Body (2)"/>
      <sheetName val="Config"/>
      <sheetName val="2700DIA 22.5deg "/>
      <sheetName val="FOOTING_F1"/>
      <sheetName val="Transfer"/>
      <sheetName val="ecc_res"/>
      <sheetName val="Basis"/>
      <sheetName val="AT-3"/>
      <sheetName val="Step-1"/>
      <sheetName val="Calculation"/>
      <sheetName val="G Wire"/>
      <sheetName val="Step-3"/>
      <sheetName val="Récap VA"/>
      <sheetName val="7 Other Costs"/>
      <sheetName val="ENGG"/>
      <sheetName val="TT"/>
      <sheetName val="Rate Analysis"/>
      <sheetName val="DATA_PRG"/>
      <sheetName val="r"/>
      <sheetName val="BM-HOOP"/>
      <sheetName val="Detail"/>
      <sheetName val="BTB"/>
      <sheetName val="cf"/>
      <sheetName val="orders"/>
      <sheetName val="A.O.R."/>
      <sheetName val="_5wgdhabfinal00_01"/>
      <sheetName val="DETAILED  BOQ"/>
      <sheetName val="doq"/>
      <sheetName val="Boq- Civil"/>
      <sheetName val="STAFFSCHED "/>
      <sheetName val="1"/>
      <sheetName val="03"/>
      <sheetName val="04"/>
      <sheetName val="KONZ_XLS13"/>
      <sheetName val="ref_formula_TV13"/>
      <sheetName val="DGT-I_support13"/>
      <sheetName val="BB_ATV_A_131_13"/>
      <sheetName val="DM_tANK_Allow13"/>
      <sheetName val="Legal_Risk_Analysis13"/>
      <sheetName val="CALCULATION___CAG13"/>
      <sheetName val="PRECAST_lightconc_II6"/>
      <sheetName val="PG-DIA_SEA2"/>
      <sheetName val="PART_C1"/>
      <sheetName val="PRECAST_lightconc-II1"/>
      <sheetName val="Trail_Balance1"/>
      <sheetName val="Design_basis-C1"/>
      <sheetName val="Load_Details(B2)1"/>
      <sheetName val="Biopur_Rev2_1_avg1"/>
      <sheetName val="STRIP_Sizing1"/>
      <sheetName val="SPT_vs_PHI1"/>
      <sheetName val="1-Pop_Proj1"/>
      <sheetName val="Bechtel_Norms1"/>
      <sheetName val="COST_DATA_11"/>
      <sheetName val="TECH_DATA1"/>
      <sheetName val="COST_DATA_21"/>
      <sheetName val="load_data1"/>
      <sheetName val="MCC_IC1"/>
      <sheetName val="EQP_Master1"/>
      <sheetName val="B4&amp;5_effic1"/>
      <sheetName val="Equiv_Length1"/>
      <sheetName val="Fee_Rate_Summary1"/>
      <sheetName val="Bed_Class1"/>
      <sheetName val="Assump_(Time)_-_Project_Co_1"/>
      <sheetName val="for_Cost_report_ref1"/>
      <sheetName val="More_2_LM1"/>
      <sheetName val="KONZ_XLS12"/>
      <sheetName val="ref_formula_TV12"/>
      <sheetName val="DGT-I_support12"/>
      <sheetName val="BB_ATV_A_131_12"/>
      <sheetName val="DM_tANK_Allow12"/>
      <sheetName val="Legal_Risk_Analysis12"/>
      <sheetName val="CALCULATION___CAG12"/>
      <sheetName val="PRECAST_lightconc_II5"/>
      <sheetName val="PG-DIA_SEA1"/>
      <sheetName val="PART_C"/>
      <sheetName val="PRECAST_lightconc-II"/>
      <sheetName val="Trail_Balance"/>
      <sheetName val="Design_basis-C"/>
      <sheetName val="Load_Details(B2)"/>
      <sheetName val="Biopur_Rev2_1_avg"/>
      <sheetName val="STRIP_Sizing"/>
      <sheetName val="SPT_vs_PHI"/>
      <sheetName val="1-Pop_Proj"/>
      <sheetName val="Bechtel_Norms"/>
      <sheetName val="COST_DATA_1"/>
      <sheetName val="TECH_DATA"/>
      <sheetName val="COST_DATA_2"/>
      <sheetName val="load_data"/>
      <sheetName val="MCC_IC"/>
      <sheetName val="EQP_Master"/>
      <sheetName val="B4&amp;5_effic"/>
      <sheetName val="Equiv_Length"/>
      <sheetName val="Fee_Rate_Summary"/>
      <sheetName val="Bed_Class"/>
      <sheetName val="Assump_(Time)_-_Project_Co_"/>
      <sheetName val="for_Cost_report_ref"/>
      <sheetName val="More_2_LM"/>
      <sheetName val="KONZ_XLS14"/>
      <sheetName val="ref_formula_TV14"/>
      <sheetName val="DGT-I_support14"/>
      <sheetName val="BB_ATV_A_131_14"/>
      <sheetName val="DM_tANK_Allow14"/>
      <sheetName val="Legal_Risk_Analysis14"/>
      <sheetName val="CALCULATION___CAG14"/>
      <sheetName val="PRECAST_lightconc_II7"/>
      <sheetName val="PG-DIA_SEA3"/>
      <sheetName val="PART_C2"/>
      <sheetName val="PRECAST_lightconc-II2"/>
      <sheetName val="Trail_Balance2"/>
      <sheetName val="Design_basis-C2"/>
      <sheetName val="Load_Details(B2)2"/>
      <sheetName val="Biopur_Rev2_1_avg2"/>
      <sheetName val="STRIP_Sizing2"/>
      <sheetName val="SPT_vs_PHI2"/>
      <sheetName val="1-Pop_Proj2"/>
      <sheetName val="Bechtel_Norms2"/>
      <sheetName val="COST_DATA_12"/>
      <sheetName val="TECH_DATA2"/>
      <sheetName val="COST_DATA_22"/>
      <sheetName val="load_data2"/>
      <sheetName val="MCC_IC2"/>
      <sheetName val="EQP_Master2"/>
      <sheetName val="B4&amp;5_effic2"/>
      <sheetName val="Equiv_Length2"/>
      <sheetName val="Fee_Rate_Summary2"/>
      <sheetName val="Bed_Class2"/>
      <sheetName val="Assump_(Time)_-_Project_Co_2"/>
      <sheetName val="for_Cost_report_ref2"/>
      <sheetName val="More_2_LM2"/>
      <sheetName val="KONZ_XLS15"/>
      <sheetName val="ref_formula_TV15"/>
      <sheetName val="DGT-I_support15"/>
      <sheetName val="BB_ATV_A_131_15"/>
      <sheetName val="DM_tANK_Allow15"/>
      <sheetName val="Legal_Risk_Analysis15"/>
      <sheetName val="CALCULATION___CAG15"/>
      <sheetName val="PRECAST_lightconc_II8"/>
      <sheetName val="PG-DIA_SEA4"/>
      <sheetName val="PART_C3"/>
      <sheetName val="PRECAST_lightconc-II3"/>
      <sheetName val="Trail_Balance3"/>
      <sheetName val="Design_basis-C3"/>
      <sheetName val="Load_Details(B2)3"/>
      <sheetName val="Biopur_Rev2_1_avg3"/>
      <sheetName val="STRIP_Sizing3"/>
      <sheetName val="SPT_vs_PHI3"/>
      <sheetName val="1-Pop_Proj3"/>
      <sheetName val="Bechtel_Norms3"/>
      <sheetName val="COST_DATA_13"/>
      <sheetName val="TECH_DATA3"/>
      <sheetName val="COST_DATA_23"/>
      <sheetName val="load_data3"/>
      <sheetName val="MCC_IC3"/>
      <sheetName val="EQP_Master3"/>
      <sheetName val="B4&amp;5_effic3"/>
      <sheetName val="Equiv_Length3"/>
      <sheetName val="Fee_Rate_Summary3"/>
      <sheetName val="Bed_Class3"/>
      <sheetName val="Assump_(Time)_-_Project_Co_3"/>
      <sheetName val="for_Cost_report_ref3"/>
      <sheetName val="More_2_LM3"/>
      <sheetName val="KONZ_XLS16"/>
      <sheetName val="ref_formula_TV16"/>
      <sheetName val="DGT-I_support16"/>
      <sheetName val="BB_ATV_A_131_16"/>
      <sheetName val="DM_tANK_Allow16"/>
      <sheetName val="Legal_Risk_Analysis16"/>
      <sheetName val="CALCULATION___CAG16"/>
      <sheetName val="PRECAST_lightconc_II9"/>
      <sheetName val="PG-DIA_SEA5"/>
      <sheetName val="PART_C4"/>
      <sheetName val="PRECAST_lightconc-II4"/>
      <sheetName val="Trail_Balance4"/>
      <sheetName val="Design_basis-C4"/>
      <sheetName val="Load_Details(B2)4"/>
      <sheetName val="Biopur_Rev2_1_avg4"/>
      <sheetName val="STRIP_Sizing4"/>
      <sheetName val="SPT_vs_PHI4"/>
      <sheetName val="1-Pop_Proj4"/>
      <sheetName val="Bechtel_Norms4"/>
      <sheetName val="COST_DATA_14"/>
      <sheetName val="TECH_DATA4"/>
      <sheetName val="COST_DATA_24"/>
      <sheetName val="load_data4"/>
      <sheetName val="MCC_IC4"/>
      <sheetName val="EQP_Master4"/>
      <sheetName val="B4&amp;5_effic4"/>
      <sheetName val="Equiv_Length4"/>
      <sheetName val="Fee_Rate_Summary4"/>
      <sheetName val="Bed_Class4"/>
      <sheetName val="Assump_(Time)_-_Project_Co_4"/>
      <sheetName val="for_Cost_report_ref4"/>
      <sheetName val="More_2_LM4"/>
    </sheetNames>
    <sheetDataSet>
      <sheetData sheetId="0">
        <row r="10">
          <cell r="E10">
            <v>0</v>
          </cell>
          <cell r="F10">
            <v>3415.3333333333335</v>
          </cell>
          <cell r="H10">
            <v>3125</v>
          </cell>
        </row>
        <row r="11">
          <cell r="F11">
            <v>4873.6666666666661</v>
          </cell>
          <cell r="H11">
            <v>1770.8333333333333</v>
          </cell>
        </row>
        <row r="13">
          <cell r="E13">
            <v>0</v>
          </cell>
          <cell r="F13">
            <v>27272.419545686924</v>
          </cell>
        </row>
        <row r="14">
          <cell r="F14">
            <v>332.72032434226679</v>
          </cell>
        </row>
        <row r="15">
          <cell r="E15">
            <v>0</v>
          </cell>
          <cell r="F15">
            <v>14997.945222128405</v>
          </cell>
        </row>
        <row r="16">
          <cell r="F16">
            <v>182.9731751674849</v>
          </cell>
        </row>
        <row r="17">
          <cell r="F17">
            <v>3135.6292039733808</v>
          </cell>
        </row>
        <row r="18">
          <cell r="F18">
            <v>38.254309047108393</v>
          </cell>
        </row>
        <row r="19">
          <cell r="E19">
            <v>0</v>
          </cell>
          <cell r="F19">
            <v>1286.0651920736336</v>
          </cell>
        </row>
        <row r="20">
          <cell r="F20">
            <v>15.68984472078901</v>
          </cell>
        </row>
        <row r="21">
          <cell r="F21">
            <v>118.94539304097107</v>
          </cell>
        </row>
        <row r="22">
          <cell r="F22">
            <v>1.4511198643491492</v>
          </cell>
        </row>
        <row r="23">
          <cell r="F23">
            <v>1730.6186188587765</v>
          </cell>
        </row>
        <row r="24">
          <cell r="F24">
            <v>21.113344461970236</v>
          </cell>
        </row>
        <row r="25">
          <cell r="E25">
            <v>0</v>
          </cell>
          <cell r="F25">
            <v>689.70238793137241</v>
          </cell>
        </row>
        <row r="26">
          <cell r="F26">
            <v>8.4142883555945307</v>
          </cell>
        </row>
        <row r="27">
          <cell r="I27">
            <v>0</v>
          </cell>
        </row>
        <row r="28">
          <cell r="F28">
            <v>0</v>
          </cell>
          <cell r="J28">
            <v>0</v>
          </cell>
        </row>
        <row r="50">
          <cell r="E50">
            <v>0</v>
          </cell>
        </row>
        <row r="51">
          <cell r="E51">
            <v>0.8</v>
          </cell>
        </row>
        <row r="54">
          <cell r="E54">
            <v>12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 Other Costs"/>
      <sheetName val="1Personnel (2)"/>
      <sheetName val="2Energy"/>
      <sheetName val="Civil(2)"/>
      <sheetName val="siteoff(4)"/>
      <sheetName val="spares&amp;maint(5)"/>
      <sheetName val="Sch C (2)"/>
      <sheetName val="Sch C"/>
      <sheetName val="Kalkulationsbogen"/>
      <sheetName val="New_Wabagsheet_REV"/>
      <sheetName val="Summary"/>
      <sheetName val="spares(5 backup)"/>
      <sheetName val="prev(7)"/>
      <sheetName val="VB-chemicals(8)"/>
      <sheetName val="gasengine"/>
      <sheetName val="VB- sludge(11)"/>
      <sheetName val="Sch E"/>
      <sheetName val="Legal Risk Analysis"/>
      <sheetName val="Process"/>
      <sheetName val="MixBed"/>
      <sheetName val="#REF!"/>
      <sheetName val="(10) Other Costs5"/>
      <sheetName val="2.9. Zwischenpuffer Risiko"/>
      <sheetName val="HT-INTROD"/>
      <sheetName val="TehranBilanz"/>
      <sheetName val="Data"/>
      <sheetName val="WIND1"/>
      <sheetName val="local load"/>
      <sheetName val="Total"/>
      <sheetName val="COLUMN"/>
      <sheetName val="STAFFSCHED "/>
      <sheetName val="conc-foot-gradeslab"/>
      <sheetName val="Main-Material"/>
      <sheetName val="Macro1"/>
      <sheetName val="SATHUMID"/>
      <sheetName val="pt-cw"/>
      <sheetName val="Units"/>
      <sheetName val="Pile cap"/>
      <sheetName val="BOQ_Direct_selling cost"/>
      <sheetName val="Boq"/>
      <sheetName val="ELECT"/>
      <sheetName val="Sheet1"/>
      <sheetName val="VK"/>
      <sheetName val="Dsgn_Crt"/>
      <sheetName val="P.I(BOU)"/>
      <sheetName val="P.I(DIA)"/>
      <sheetName val="pr_cal"/>
      <sheetName val="VB-294-O&amp;M COST"/>
      <sheetName val="LCS SCHEDULE "/>
      <sheetName val="pr.cal"/>
      <sheetName val="F.I(BYPASS)"/>
      <sheetName val="Side wall dsn Formula"/>
      <sheetName val="Specification"/>
      <sheetName val="BALAN1"/>
      <sheetName val="Abstract Sheet"/>
      <sheetName val="p&amp;m"/>
      <sheetName val="TS-TC"/>
      <sheetName val="BOQ-Tower"/>
      <sheetName val="Einstufig_A131neu ,BSB"/>
      <sheetName val="Rate analysis"/>
      <sheetName val="cubes_M20"/>
      <sheetName val="OLD IC"/>
      <sheetName val="IO LIST"/>
      <sheetName val="RA-markate"/>
      <sheetName val="HASSAN"/>
      <sheetName val="Cul_detail"/>
      <sheetName val="STG"/>
      <sheetName val="Desgn(zone I)"/>
      <sheetName val="E1"/>
      <sheetName val="Lucas3"/>
      <sheetName val="Input &amp; Calculations"/>
      <sheetName val="Sheet2"/>
      <sheetName val="Motor Data"/>
      <sheetName val="Design"/>
      <sheetName val="Introduction"/>
      <sheetName val="ssr-rates"/>
      <sheetName val="sand"/>
      <sheetName val="stone"/>
      <sheetName val="Input "/>
      <sheetName val="1Personnel_(2)"/>
      <sheetName val="Sch_C_(2)"/>
      <sheetName val="Sch_C"/>
      <sheetName val="7_Other_Costs"/>
      <sheetName val="spares(5_backup)"/>
      <sheetName val="VB-_sludge(11)"/>
      <sheetName val="Sch_E"/>
      <sheetName val="Legal_Risk_Analysis"/>
      <sheetName val="2_9__Zwischenpuffer_Risiko"/>
      <sheetName val="(10)_Other_Costs5"/>
      <sheetName val="local_load"/>
      <sheetName val="STAFFSCHED_"/>
      <sheetName val="Pile_cap"/>
      <sheetName val="BOQ_Direct_selling_cost"/>
      <sheetName val="P_I(BOU)"/>
      <sheetName val="P_I(DIA)"/>
      <sheetName val="VB-294-O&amp;M_COST"/>
      <sheetName val="LCS_SCHEDULE_"/>
      <sheetName val="pr_cal1"/>
      <sheetName val="F_I(BYPASS)"/>
      <sheetName val="Side_wall_dsn_Formula"/>
      <sheetName val="1Personnel_(2)1"/>
      <sheetName val="Sch_C_(2)1"/>
      <sheetName val="Sch_C1"/>
      <sheetName val="7_Other_Costs1"/>
      <sheetName val="spares(5_backup)1"/>
      <sheetName val="VB-_sludge(11)1"/>
      <sheetName val="Sch_E1"/>
      <sheetName val="Legal_Risk_Analysis1"/>
      <sheetName val="2_9__Zwischenpuffer_Risiko1"/>
      <sheetName val="(10)_Other_Costs51"/>
      <sheetName val="local_load1"/>
      <sheetName val="STAFFSCHED_1"/>
      <sheetName val="Pile_cap1"/>
      <sheetName val="BOQ_Direct_selling_cost1"/>
      <sheetName val="P_I(BOU)1"/>
      <sheetName val="P_I(DIA)1"/>
      <sheetName val="VB-294-O&amp;M_COST1"/>
      <sheetName val="LCS_SCHEDULE_1"/>
      <sheetName val="pr_cal2"/>
      <sheetName val="F_I(BYPASS)1"/>
      <sheetName val="Side_wall_dsn_Formula1"/>
      <sheetName val="Abstract_Sheet"/>
      <sheetName val="1Personnel_(2)2"/>
      <sheetName val="Sch_C_(2)2"/>
      <sheetName val="Sch_C2"/>
      <sheetName val="7_Other_Costs2"/>
      <sheetName val="spares(5_backup)2"/>
      <sheetName val="VB-_sludge(11)2"/>
      <sheetName val="Sch_E2"/>
      <sheetName val="Legal_Risk_Analysis2"/>
      <sheetName val="2_9__Zwischenpuffer_Risiko2"/>
      <sheetName val="(10)_Other_Costs52"/>
      <sheetName val="local_load2"/>
      <sheetName val="STAFFSCHED_2"/>
      <sheetName val="Pile_cap2"/>
      <sheetName val="BOQ_Direct_selling_cost2"/>
      <sheetName val="P_I(BOU)2"/>
      <sheetName val="P_I(DIA)2"/>
      <sheetName val="VB-294-O&amp;M_COST2"/>
      <sheetName val="LCS_SCHEDULE_2"/>
      <sheetName val="pr_cal3"/>
      <sheetName val="F_I(BYPASS)2"/>
      <sheetName val="Side_wall_dsn_Formula2"/>
      <sheetName val="1Personnel_(2)3"/>
      <sheetName val="Sch_C_(2)3"/>
      <sheetName val="Sch_C3"/>
      <sheetName val="7_Other_Costs3"/>
      <sheetName val="spares(5_backup)3"/>
      <sheetName val="VB-_sludge(11)3"/>
      <sheetName val="Sch_E3"/>
      <sheetName val="Legal_Risk_Analysis3"/>
      <sheetName val="2_9__Zwischenpuffer_Risiko3"/>
      <sheetName val="(10)_Other_Costs53"/>
      <sheetName val="local_load3"/>
      <sheetName val="STAFFSCHED_3"/>
      <sheetName val="Pile_cap3"/>
      <sheetName val="BOQ_Direct_selling_cost3"/>
      <sheetName val="P_I(BOU)3"/>
      <sheetName val="P_I(DIA)3"/>
      <sheetName val="VB-294-O&amp;M_COST3"/>
      <sheetName val="LCS_SCHEDULE_3"/>
      <sheetName val="pr_cal4"/>
      <sheetName val="F_I(BYPASS)3"/>
      <sheetName val="Side_wall_dsn_Formula3"/>
      <sheetName val="Abstract_Sheet1"/>
      <sheetName val="1Personnel_(2)4"/>
      <sheetName val="Sch_C_(2)4"/>
      <sheetName val="Sch_C4"/>
      <sheetName val="7_Other_Costs4"/>
      <sheetName val="spares(5_backup)4"/>
      <sheetName val="VB-_sludge(11)4"/>
      <sheetName val="Sch_E4"/>
      <sheetName val="Legal_Risk_Analysis4"/>
      <sheetName val="2_9__Zwischenpuffer_Risiko4"/>
      <sheetName val="(10)_Other_Costs54"/>
      <sheetName val="local_load4"/>
      <sheetName val="STAFFSCHED_4"/>
      <sheetName val="Pile_cap4"/>
      <sheetName val="BOQ_Direct_selling_cost4"/>
      <sheetName val="P_I(BOU)4"/>
      <sheetName val="P_I(DIA)4"/>
      <sheetName val="VB-294-O&amp;M_COST4"/>
      <sheetName val="LCS_SCHEDULE_4"/>
      <sheetName val="pr_cal5"/>
      <sheetName val="F_I(BYPASS)4"/>
      <sheetName val="Side_wall_dsn_Formula4"/>
      <sheetName val="Abstract_Sheet2"/>
      <sheetName val="1Personnel_(2)5"/>
      <sheetName val="Sch_C_(2)5"/>
      <sheetName val="Sch_C5"/>
      <sheetName val="7_Other_Costs5"/>
      <sheetName val="spares(5_backup)5"/>
      <sheetName val="VB-_sludge(11)5"/>
      <sheetName val="Sch_E5"/>
      <sheetName val="Legal_Risk_Analysis5"/>
      <sheetName val="2_9__Zwischenpuffer_Risiko5"/>
      <sheetName val="(10)_Other_Costs55"/>
      <sheetName val="local_load5"/>
      <sheetName val="STAFFSCHED_5"/>
      <sheetName val="Pile_cap5"/>
      <sheetName val="BOQ_Direct_selling_cost5"/>
      <sheetName val="P_I(BOU)5"/>
      <sheetName val="P_I(DIA)5"/>
      <sheetName val="VB-294-O&amp;M_COST5"/>
      <sheetName val="LCS_SCHEDULE_5"/>
      <sheetName val="pr_cal6"/>
      <sheetName val="F_I(BYPASS)5"/>
      <sheetName val="Side_wall_dsn_Formula5"/>
      <sheetName val="Abstract_Sheet3"/>
      <sheetName val="1Personnel_(2)6"/>
      <sheetName val="Sch_C_(2)6"/>
      <sheetName val="Sch_C6"/>
      <sheetName val="7_Other_Costs6"/>
      <sheetName val="spares(5_backup)6"/>
      <sheetName val="VB-_sludge(11)6"/>
      <sheetName val="Sch_E6"/>
      <sheetName val="Legal_Risk_Analysis6"/>
      <sheetName val="2_9__Zwischenpuffer_Risiko6"/>
      <sheetName val="(10)_Other_Costs56"/>
      <sheetName val="local_load6"/>
      <sheetName val="STAFFSCHED_6"/>
      <sheetName val="Pile_cap6"/>
      <sheetName val="BOQ_Direct_selling_cost6"/>
      <sheetName val="P_I(BOU)6"/>
      <sheetName val="P_I(DIA)6"/>
      <sheetName val="VB-294-O&amp;M_COST6"/>
      <sheetName val="LCS_SCHEDULE_6"/>
      <sheetName val="pr_cal7"/>
      <sheetName val="F_I(BYPASS)6"/>
      <sheetName val="Side_wall_dsn_Formula6"/>
      <sheetName val="Abstract_Sheet4"/>
      <sheetName val="1Personnel_(2)7"/>
      <sheetName val="Sch_C_(2)7"/>
      <sheetName val="Sch_C7"/>
      <sheetName val="7_Other_Costs7"/>
      <sheetName val="spares(5_backup)7"/>
      <sheetName val="VB-_sludge(11)7"/>
      <sheetName val="Sch_E7"/>
      <sheetName val="Legal_Risk_Analysis7"/>
      <sheetName val="2_9__Zwischenpuffer_Risiko7"/>
      <sheetName val="(10)_Other_Costs57"/>
      <sheetName val="local_load7"/>
      <sheetName val="STAFFSCHED_7"/>
      <sheetName val="Pile_cap7"/>
      <sheetName val="BOQ_Direct_selling_cost7"/>
      <sheetName val="P_I(BOU)7"/>
      <sheetName val="P_I(DIA)7"/>
      <sheetName val="VB-294-O&amp;M_COST7"/>
      <sheetName val="LCS_SCHEDULE_7"/>
      <sheetName val="pr_cal8"/>
      <sheetName val="F_I(BYPASS)7"/>
      <sheetName val="Side_wall_dsn_Formula7"/>
      <sheetName val="Abstract_Sheet5"/>
      <sheetName val="Rate_analysis"/>
      <sheetName val="OLD_IC"/>
      <sheetName val="IO_LIST"/>
      <sheetName val="Desgn(zone_I)"/>
      <sheetName val="Input_&amp;_Calculations"/>
      <sheetName val="1Personnel_(2)8"/>
      <sheetName val="Sch_C_(2)8"/>
      <sheetName val="Sch_C8"/>
      <sheetName val="7_Other_Costs8"/>
      <sheetName val="spares(5_backup)8"/>
      <sheetName val="VB-_sludge(11)8"/>
      <sheetName val="Sch_E8"/>
      <sheetName val="Legal_Risk_Analysis8"/>
      <sheetName val="2_9__Zwischenpuffer_Risiko8"/>
      <sheetName val="(10)_Other_Costs58"/>
      <sheetName val="local_load8"/>
      <sheetName val="STAFFSCHED_8"/>
      <sheetName val="Pile_cap8"/>
      <sheetName val="BOQ_Direct_selling_cost8"/>
      <sheetName val="P_I(BOU)8"/>
      <sheetName val="P_I(DIA)8"/>
      <sheetName val="VB-294-O&amp;M_COST8"/>
      <sheetName val="LCS_SCHEDULE_8"/>
      <sheetName val="pr_cal9"/>
      <sheetName val="F_I(BYPASS)8"/>
      <sheetName val="Side_wall_dsn_Formula8"/>
      <sheetName val="Abstract_Sheet6"/>
      <sheetName val="Rate_analysis1"/>
      <sheetName val="OLD_IC1"/>
      <sheetName val="IO_LIST1"/>
      <sheetName val="Desgn(zone_I)1"/>
      <sheetName val="Input_&amp;_Calculations1"/>
      <sheetName val="1Personnel_(2)10"/>
      <sheetName val="Sch_C_(2)10"/>
      <sheetName val="Sch_C10"/>
      <sheetName val="7_Other_Costs10"/>
      <sheetName val="spares(5_backup)10"/>
      <sheetName val="VB-_sludge(11)10"/>
      <sheetName val="Sch_E10"/>
      <sheetName val="Legal_Risk_Analysis10"/>
      <sheetName val="2_9__Zwischenpuffer_Risiko10"/>
      <sheetName val="(10)_Other_Costs510"/>
      <sheetName val="local_load10"/>
      <sheetName val="STAFFSCHED_10"/>
      <sheetName val="Pile_cap10"/>
      <sheetName val="BOQ_Direct_selling_cost10"/>
      <sheetName val="P_I(BOU)10"/>
      <sheetName val="P_I(DIA)10"/>
      <sheetName val="VB-294-O&amp;M_COST10"/>
      <sheetName val="LCS_SCHEDULE_10"/>
      <sheetName val="pr_cal11"/>
      <sheetName val="F_I(BYPASS)10"/>
      <sheetName val="Side_wall_dsn_Formula10"/>
      <sheetName val="Abstract_Sheet8"/>
      <sheetName val="Rate_analysis3"/>
      <sheetName val="OLD_IC3"/>
      <sheetName val="IO_LIST3"/>
      <sheetName val="Desgn(zone_I)3"/>
      <sheetName val="Input_&amp;_Calculations3"/>
      <sheetName val="1Personnel_(2)9"/>
      <sheetName val="Sch_C_(2)9"/>
      <sheetName val="Sch_C9"/>
      <sheetName val="7_Other_Costs9"/>
      <sheetName val="spares(5_backup)9"/>
      <sheetName val="VB-_sludge(11)9"/>
      <sheetName val="Sch_E9"/>
      <sheetName val="Legal_Risk_Analysis9"/>
      <sheetName val="2_9__Zwischenpuffer_Risiko9"/>
      <sheetName val="(10)_Other_Costs59"/>
      <sheetName val="local_load9"/>
      <sheetName val="STAFFSCHED_9"/>
      <sheetName val="Pile_cap9"/>
      <sheetName val="BOQ_Direct_selling_cost9"/>
      <sheetName val="P_I(BOU)9"/>
      <sheetName val="P_I(DIA)9"/>
      <sheetName val="VB-294-O&amp;M_COST9"/>
      <sheetName val="LCS_SCHEDULE_9"/>
      <sheetName val="pr_cal10"/>
      <sheetName val="F_I(BYPASS)9"/>
      <sheetName val="Side_wall_dsn_Formula9"/>
      <sheetName val="Abstract_Sheet7"/>
      <sheetName val="Rate_analysis2"/>
      <sheetName val="OLD_IC2"/>
      <sheetName val="IO_LIST2"/>
      <sheetName val="Desgn(zone_I)2"/>
      <sheetName val="Input_&amp;_Calculations2"/>
      <sheetName val="Misc"/>
      <sheetName val="CALCULATION   CAG"/>
      <sheetName val="DGT-I"/>
      <sheetName val=" Tank"/>
      <sheetName val="Instrumentation - Standardizati"/>
      <sheetName val="Penn-1_WTP system"/>
      <sheetName val="Coversheet"/>
      <sheetName val="DM tANK Allow"/>
      <sheetName val="A (2)"/>
      <sheetName val="book1"/>
      <sheetName val="MH BUDGET JAN'98"/>
      <sheetName val="15THMONTH"/>
      <sheetName val="p_2"/>
      <sheetName val="MH CONSPTN"/>
      <sheetName val="BASE DATI"/>
      <sheetName val="1Personnel_(2)11"/>
      <sheetName val="Sch_C_(2)11"/>
      <sheetName val="Sch_C11"/>
      <sheetName val="7_Other_Costs11"/>
      <sheetName val="spares(5_backup)11"/>
      <sheetName val="VB-_sludge(11)11"/>
      <sheetName val="Sch_E11"/>
      <sheetName val="Legal_Risk_Analysis11"/>
      <sheetName val="(10)_Other_Costs511"/>
      <sheetName val="2_9__Zwischenpuffer_Risiko11"/>
      <sheetName val="local_load11"/>
      <sheetName val="STAFFSCHED_11"/>
      <sheetName val="Pile_cap11"/>
      <sheetName val="BOQ_Direct_selling_cost11"/>
      <sheetName val="P_I(BOU)11"/>
      <sheetName val="P_I(DIA)11"/>
      <sheetName val="VB-294-O&amp;M_COST11"/>
      <sheetName val="LCS_SCHEDULE_11"/>
      <sheetName val="pr_cal12"/>
      <sheetName val="F_I(BYPASS)11"/>
      <sheetName val="Side_wall_dsn_Formula11"/>
      <sheetName val="Abstract_Sheet9"/>
      <sheetName val="Rate_analysis4"/>
      <sheetName val="OLD_IC4"/>
      <sheetName val="IO_LIST4"/>
      <sheetName val="Desgn(zone_I)4"/>
      <sheetName val="Input_&amp;_Calculations4"/>
      <sheetName val="Einstufig_A131neu_,BSB"/>
      <sheetName val="Motor_Data"/>
      <sheetName val="Input_"/>
      <sheetName val="NFF-Cons"/>
      <sheetName val="INPUT"/>
      <sheetName val="dummy"/>
      <sheetName val="index"/>
      <sheetName val="r"/>
      <sheetName val="Lead"/>
      <sheetName val="Road Detail Est."/>
      <sheetName val="Road data"/>
      <sheetName val="reaction-table"/>
      <sheetName val="PRECAST lightconc-II"/>
      <sheetName val="Sheet4"/>
      <sheetName val="Cover sheet"/>
      <sheetName val="Leg 1-1"/>
      <sheetName val="Rising Main"/>
      <sheetName val="RCC,Ret. Wall"/>
      <sheetName val="2.9. Payment Balance"/>
      <sheetName val="Resul Bio (15)"/>
      <sheetName val="General Aspects"/>
      <sheetName val="Financial Summary"/>
      <sheetName val="COST_SUMMARY"/>
      <sheetName val="TSX Tech Data"/>
      <sheetName val="General"/>
      <sheetName val="Equipment List"/>
      <sheetName val="FERM-MS"/>
      <sheetName val="Loading"/>
      <sheetName val="Settings"/>
      <sheetName val="Catalogue"/>
      <sheetName val="GN-ST-05"/>
      <sheetName val="Design Basis"/>
      <sheetName val="CWPH &amp; WTP-CAL"/>
      <sheetName val="cover"/>
      <sheetName val="Motor IE2"/>
      <sheetName val="Sheet3"/>
      <sheetName val="rising 15"/>
      <sheetName val="Direct cost shed A-2 "/>
      <sheetName val="final abstract"/>
      <sheetName val="Mat.-Rates"/>
      <sheetName val="Detailed Summary (5)"/>
      <sheetName val="Electrical"/>
      <sheetName val="office"/>
      <sheetName val="Lab"/>
      <sheetName val="Material&amp;equipment"/>
      <sheetName val="col-reinft1"/>
      <sheetName val="civil"/>
      <sheetName val="EtapaA"/>
      <sheetName val="Carac. Influente"/>
      <sheetName val="BASE_ALL"/>
      <sheetName val="Sheet11"/>
      <sheetName val="Labour"/>
      <sheetName val="Material"/>
      <sheetName val="Plant &amp;  Machinery"/>
      <sheetName val="labour &amp; Centering"/>
      <sheetName val=" Type III"/>
      <sheetName val=" Type I"/>
      <sheetName val="5_Calculation"/>
      <sheetName val="300x300 Sludge sump"/>
      <sheetName val="700x1500 Inlet of Stilling"/>
      <sheetName val="800x800 CW Reservoir"/>
      <sheetName val="800x800 Inlet of CW Reservoir"/>
      <sheetName val="실행내역서 "/>
      <sheetName val="Sent NHO"/>
      <sheetName val="oresreqsum"/>
      <sheetName val="품"/>
      <sheetName val="수압집계"/>
      <sheetName val="purpose&amp;input"/>
      <sheetName val="CALCULATION"/>
      <sheetName val="Base Data"/>
      <sheetName val="Sheet5"/>
      <sheetName val="Equiv.Length"/>
      <sheetName val="Cluster IV PR"/>
      <sheetName val="estimate"/>
      <sheetName val="FORM7"/>
      <sheetName val="STRIP Sizing"/>
      <sheetName val="A"/>
      <sheetName val="NKBcrossflow_Phase1"/>
      <sheetName val="Hilfswerte_TF"/>
      <sheetName val="Improvements"/>
      <sheetName val="VALIDATION"/>
      <sheetName val="Catalogue MASURCA"/>
      <sheetName val="Extraction Mezzoteam"/>
      <sheetName val="MCC Incomer Sizing"/>
      <sheetName val="1Personnel_(2)13"/>
      <sheetName val="Sch_C_(2)13"/>
      <sheetName val="Sch_C13"/>
      <sheetName val="7_Other_Costs13"/>
      <sheetName val="spares(5_backup)13"/>
      <sheetName val="VB-_sludge(11)13"/>
      <sheetName val="Sch_E13"/>
      <sheetName val="Legal_Risk_Analysis13"/>
      <sheetName val="2_9__Zwischenpuffer_Risiko13"/>
      <sheetName val="(10)_Other_Costs513"/>
      <sheetName val="local_load13"/>
      <sheetName val="STAFFSCHED_13"/>
      <sheetName val="Pile_cap13"/>
      <sheetName val="BOQ_Direct_selling_cost13"/>
      <sheetName val="P_I(BOU)13"/>
      <sheetName val="P_I(DIA)13"/>
      <sheetName val="VB-294-O&amp;M_COST13"/>
      <sheetName val="LCS_SCHEDULE_13"/>
      <sheetName val="pr_cal14"/>
      <sheetName val="F_I(BYPASS)13"/>
      <sheetName val="Side_wall_dsn_Formula13"/>
      <sheetName val="Abstract_Sheet11"/>
      <sheetName val="Rate_analysis6"/>
      <sheetName val="OLD_IC6"/>
      <sheetName val="IO_LIST6"/>
      <sheetName val="Desgn(zone_I)6"/>
      <sheetName val="Input_&amp;_Calculations6"/>
      <sheetName val="Motor_Data2"/>
      <sheetName val="Input_2"/>
      <sheetName val="Leg_1-11"/>
      <sheetName val="Einstufig_A131neu_,BSB2"/>
      <sheetName val="General_Aspects1"/>
      <sheetName val="Financial_Summary1"/>
      <sheetName val="PRECAST_lightconc-II1"/>
      <sheetName val="CALCULATION___CAG1"/>
      <sheetName val="_Tank1"/>
      <sheetName val="Penn-1_WTP_system1"/>
      <sheetName val="Road_Detail_Est_1"/>
      <sheetName val="Road_data1"/>
      <sheetName val="Cover_sheet1"/>
      <sheetName val="Instrumentation_-_Standardizat1"/>
      <sheetName val="DM_tANK_Allow1"/>
      <sheetName val="A_(2)1"/>
      <sheetName val="MH_BUDGET_JAN'981"/>
      <sheetName val="MH_CONSPTN1"/>
      <sheetName val="BASE_DATI1"/>
      <sheetName val="Rising_Main1"/>
      <sheetName val="RCC,Ret__Wall1"/>
      <sheetName val="Resul_Bio_(15)1"/>
      <sheetName val="2_9__Payment_Balance1"/>
      <sheetName val="Design_Basis1"/>
      <sheetName val="CWPH_&amp;_WTP-CAL1"/>
      <sheetName val="Motor_IE21"/>
      <sheetName val="1Personnel_(2)12"/>
      <sheetName val="Sch_C_(2)12"/>
      <sheetName val="Sch_C12"/>
      <sheetName val="7_Other_Costs12"/>
      <sheetName val="spares(5_backup)12"/>
      <sheetName val="VB-_sludge(11)12"/>
      <sheetName val="Sch_E12"/>
      <sheetName val="Legal_Risk_Analysis12"/>
      <sheetName val="2_9__Zwischenpuffer_Risiko12"/>
      <sheetName val="(10)_Other_Costs512"/>
      <sheetName val="local_load12"/>
      <sheetName val="STAFFSCHED_12"/>
      <sheetName val="Pile_cap12"/>
      <sheetName val="BOQ_Direct_selling_cost12"/>
      <sheetName val="P_I(BOU)12"/>
      <sheetName val="P_I(DIA)12"/>
      <sheetName val="VB-294-O&amp;M_COST12"/>
      <sheetName val="LCS_SCHEDULE_12"/>
      <sheetName val="pr_cal13"/>
      <sheetName val="F_I(BYPASS)12"/>
      <sheetName val="Side_wall_dsn_Formula12"/>
      <sheetName val="Abstract_Sheet10"/>
      <sheetName val="Rate_analysis5"/>
      <sheetName val="OLD_IC5"/>
      <sheetName val="IO_LIST5"/>
      <sheetName val="Desgn(zone_I)5"/>
      <sheetName val="Input_&amp;_Calculations5"/>
      <sheetName val="Motor_Data1"/>
      <sheetName val="Input_1"/>
      <sheetName val="Leg_1-1"/>
      <sheetName val="Einstufig_A131neu_,BSB1"/>
      <sheetName val="General_Aspects"/>
      <sheetName val="Financial_Summary"/>
      <sheetName val="PRECAST_lightconc-II"/>
      <sheetName val="CALCULATION___CAG"/>
      <sheetName val="_Tank"/>
      <sheetName val="Penn-1_WTP_system"/>
      <sheetName val="Road_Detail_Est_"/>
      <sheetName val="Road_data"/>
      <sheetName val="Cover_sheet"/>
      <sheetName val="Instrumentation_-_Standardizati"/>
      <sheetName val="DM_tANK_Allow"/>
      <sheetName val="A_(2)"/>
      <sheetName val="MH_BUDGET_JAN'98"/>
      <sheetName val="MH_CONSPTN"/>
      <sheetName val="BASE_DATI"/>
      <sheetName val="Rising_Main"/>
      <sheetName val="RCC,Ret__Wall"/>
      <sheetName val="Resul_Bio_(15)"/>
      <sheetName val="2_9__Payment_Balance"/>
      <sheetName val="Design_Basis"/>
      <sheetName val="CWPH_&amp;_WTP-CAL"/>
      <sheetName val="Motor_IE2"/>
      <sheetName val="1Personnel_(2)14"/>
      <sheetName val="Sch_C_(2)14"/>
      <sheetName val="Sch_C14"/>
      <sheetName val="7_Other_Costs14"/>
      <sheetName val="spares(5_backup)14"/>
      <sheetName val="VB-_sludge(11)14"/>
      <sheetName val="Sch_E14"/>
      <sheetName val="Legal_Risk_Analysis14"/>
      <sheetName val="2_9__Zwischenpuffer_Risiko14"/>
      <sheetName val="(10)_Other_Costs514"/>
      <sheetName val="local_load14"/>
      <sheetName val="STAFFSCHED_14"/>
      <sheetName val="Pile_cap14"/>
      <sheetName val="BOQ_Direct_selling_cost14"/>
      <sheetName val="P_I(BOU)14"/>
      <sheetName val="P_I(DIA)14"/>
      <sheetName val="VB-294-O&amp;M_COST14"/>
      <sheetName val="LCS_SCHEDULE_14"/>
      <sheetName val="pr_cal15"/>
      <sheetName val="F_I(BYPASS)14"/>
      <sheetName val="Side_wall_dsn_Formula14"/>
      <sheetName val="Abstract_Sheet12"/>
      <sheetName val="Rate_analysis7"/>
      <sheetName val="OLD_IC7"/>
      <sheetName val="IO_LIST7"/>
      <sheetName val="Desgn(zone_I)7"/>
      <sheetName val="Input_&amp;_Calculations7"/>
      <sheetName val="Motor_Data3"/>
      <sheetName val="Input_3"/>
      <sheetName val="Leg_1-12"/>
      <sheetName val="Einstufig_A131neu_,BSB3"/>
      <sheetName val="General_Aspects2"/>
      <sheetName val="Financial_Summary2"/>
      <sheetName val="PRECAST_lightconc-II2"/>
      <sheetName val="CALCULATION___CAG2"/>
      <sheetName val="_Tank2"/>
      <sheetName val="Penn-1_WTP_system2"/>
      <sheetName val="Road_Detail_Est_2"/>
      <sheetName val="Road_data2"/>
      <sheetName val="Cover_sheet2"/>
      <sheetName val="Instrumentation_-_Standardizat2"/>
      <sheetName val="DM_tANK_Allow2"/>
      <sheetName val="A_(2)2"/>
      <sheetName val="MH_BUDGET_JAN'982"/>
      <sheetName val="MH_CONSPTN2"/>
      <sheetName val="BASE_DATI2"/>
      <sheetName val="Rising_Main2"/>
      <sheetName val="RCC,Ret__Wall2"/>
      <sheetName val="Resul_Bio_(15)2"/>
      <sheetName val="2_9__Payment_Balance2"/>
      <sheetName val="Design_Basis2"/>
      <sheetName val="CWPH_&amp;_WTP-CAL2"/>
      <sheetName val="Motor_IE22"/>
      <sheetName val="1Personnel_(2)15"/>
      <sheetName val="Sch_C_(2)15"/>
      <sheetName val="Sch_C15"/>
      <sheetName val="7_Other_Costs15"/>
      <sheetName val="spares(5_backup)15"/>
      <sheetName val="VB-_sludge(11)15"/>
      <sheetName val="Sch_E15"/>
      <sheetName val="Legal_Risk_Analysis15"/>
      <sheetName val="2_9__Zwischenpuffer_Risiko15"/>
      <sheetName val="(10)_Other_Costs515"/>
      <sheetName val="local_load15"/>
      <sheetName val="STAFFSCHED_15"/>
      <sheetName val="Pile_cap15"/>
      <sheetName val="BOQ_Direct_selling_cost15"/>
      <sheetName val="P_I(BOU)15"/>
      <sheetName val="P_I(DIA)15"/>
      <sheetName val="VB-294-O&amp;M_COST15"/>
      <sheetName val="LCS_SCHEDULE_15"/>
      <sheetName val="pr_cal16"/>
      <sheetName val="F_I(BYPASS)15"/>
      <sheetName val="Side_wall_dsn_Formula15"/>
      <sheetName val="Abstract_Sheet13"/>
      <sheetName val="Rate_analysis8"/>
      <sheetName val="OLD_IC8"/>
      <sheetName val="IO_LIST8"/>
      <sheetName val="Desgn(zone_I)8"/>
      <sheetName val="Input_&amp;_Calculations8"/>
      <sheetName val="Motor_Data4"/>
      <sheetName val="Input_4"/>
      <sheetName val="Leg_1-13"/>
      <sheetName val="Einstufig_A131neu_,BSB4"/>
      <sheetName val="General_Aspects3"/>
      <sheetName val="Financial_Summary3"/>
      <sheetName val="PRECAST_lightconc-II3"/>
      <sheetName val="CALCULATION___CAG3"/>
      <sheetName val="_Tank3"/>
      <sheetName val="Penn-1_WTP_system3"/>
      <sheetName val="Road_Detail_Est_3"/>
      <sheetName val="Road_data3"/>
      <sheetName val="Cover_sheet3"/>
      <sheetName val="Instrumentation_-_Standardizat3"/>
      <sheetName val="DM_tANK_Allow3"/>
      <sheetName val="A_(2)3"/>
      <sheetName val="MH_BUDGET_JAN'983"/>
      <sheetName val="MH_CONSPTN3"/>
      <sheetName val="BASE_DATI3"/>
      <sheetName val="Rising_Main3"/>
      <sheetName val="RCC,Ret__Wall3"/>
      <sheetName val="Resul_Bio_(15)3"/>
      <sheetName val="2_9__Payment_Balance3"/>
      <sheetName val="Design_Basis3"/>
      <sheetName val="CWPH_&amp;_WTP-CAL3"/>
      <sheetName val="Motor_IE23"/>
      <sheetName val="1Personnel_(2)16"/>
      <sheetName val="Sch_C_(2)16"/>
      <sheetName val="Sch_C16"/>
      <sheetName val="7_Other_Costs16"/>
      <sheetName val="spares(5_backup)16"/>
      <sheetName val="VB-_sludge(11)16"/>
      <sheetName val="Sch_E16"/>
      <sheetName val="Legal_Risk_Analysis16"/>
      <sheetName val="2_9__Zwischenpuffer_Risiko16"/>
      <sheetName val="(10)_Other_Costs516"/>
      <sheetName val="local_load16"/>
      <sheetName val="STAFFSCHED_16"/>
      <sheetName val="Pile_cap16"/>
      <sheetName val="BOQ_Direct_selling_cost16"/>
      <sheetName val="P_I(BOU)16"/>
      <sheetName val="P_I(DIA)16"/>
      <sheetName val="VB-294-O&amp;M_COST16"/>
      <sheetName val="LCS_SCHEDULE_16"/>
      <sheetName val="pr_cal17"/>
      <sheetName val="F_I(BYPASS)16"/>
      <sheetName val="Side_wall_dsn_Formula16"/>
      <sheetName val="Abstract_Sheet14"/>
      <sheetName val="Rate_analysis9"/>
      <sheetName val="OLD_IC9"/>
      <sheetName val="IO_LIST9"/>
      <sheetName val="Desgn(zone_I)9"/>
      <sheetName val="Input_&amp;_Calculations9"/>
      <sheetName val="Motor_Data5"/>
      <sheetName val="Input_5"/>
      <sheetName val="Leg_1-14"/>
      <sheetName val="Einstufig_A131neu_,BSB5"/>
      <sheetName val="General_Aspects4"/>
      <sheetName val="Financial_Summary4"/>
      <sheetName val="PRECAST_lightconc-II4"/>
      <sheetName val="CALCULATION___CAG4"/>
      <sheetName val="_Tank4"/>
      <sheetName val="Penn-1_WTP_system4"/>
      <sheetName val="Road_Detail_Est_4"/>
      <sheetName val="Road_data4"/>
      <sheetName val="Cover_sheet4"/>
      <sheetName val="Instrumentation_-_Standardizat4"/>
      <sheetName val="DM_tANK_Allow4"/>
      <sheetName val="A_(2)4"/>
      <sheetName val="MH_BUDGET_JAN'984"/>
      <sheetName val="MH_CONSPTN4"/>
      <sheetName val="BASE_DATI4"/>
      <sheetName val="Rising_Main4"/>
      <sheetName val="RCC,Ret__Wall4"/>
      <sheetName val="Resul_Bio_(15)4"/>
      <sheetName val="2_9__Payment_Balance4"/>
      <sheetName val="Design_Basis4"/>
      <sheetName val="CWPH_&amp;_WTP-CAL4"/>
      <sheetName val="Motor_IE2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al Risk Analysis"/>
      <sheetName val="Project Description"/>
      <sheetName val="Project Information"/>
      <sheetName val="VA TECH-Risk Analysis-O&amp;M"/>
      <sheetName val="Supplement to RA-O&amp;M"/>
      <sheetName val="Minimum Requirements"/>
      <sheetName val="Zuschläge"/>
      <sheetName val="VA TECH-Risikoanalyse"/>
      <sheetName val="Beiblatt zur RA"/>
      <sheetName val="VA TECH-Risikoanalyse-O&amp;M"/>
      <sheetName val="Beiblatt zur RA-O&amp;M"/>
      <sheetName val="7 Other Costs"/>
      <sheetName val="ELECT"/>
      <sheetName val="Process"/>
      <sheetName val="(10) Other Costs5"/>
      <sheetName val="Sheet2"/>
      <sheetName val="HT-INTROD"/>
      <sheetName val="#REF!"/>
      <sheetName val="COLUMN"/>
      <sheetName val="STAFFSCHED "/>
      <sheetName val="MixBed"/>
      <sheetName val="A1a-2"/>
      <sheetName val="Macro1"/>
      <sheetName val="MH_sd_de"/>
      <sheetName val="INPUT"/>
      <sheetName val="TehranBilanz"/>
      <sheetName val="Data"/>
      <sheetName val="Resul Bio (15)"/>
      <sheetName val="Project_Description"/>
      <sheetName val="Project_Information"/>
      <sheetName val="VA_TECH-Risk_Analysis-O&amp;M"/>
      <sheetName val="Supplement_to_RA-O&amp;M"/>
      <sheetName val="Legal_Risk_Analysis"/>
      <sheetName val="Minimum_Requirements"/>
      <sheetName val="VA_TECH-Risikoanalyse"/>
      <sheetName val="Beiblatt_zur_RA"/>
      <sheetName val="VA_TECH-Risikoanalyse-O&amp;M"/>
      <sheetName val="Beiblatt_zur_RA-O&amp;M"/>
      <sheetName val="7_Other_Costs"/>
      <sheetName val="(10)_Other_Costs5"/>
      <sheetName val="STAFFSCHED_"/>
      <sheetName val="Resul_Bio_(15)"/>
      <sheetName val="P.I(BOU)"/>
      <sheetName val="P.I(DIA)"/>
      <sheetName val="pr_cal"/>
      <sheetName val="Specification"/>
      <sheetName val="dBase"/>
      <sheetName val="concrete"/>
      <sheetName val="sept-plan"/>
      <sheetName val="TS-TC"/>
      <sheetName val="Labour &amp; Plant"/>
      <sheetName val="LCS SCHEDULE "/>
      <sheetName val="conc-foot-gradeslab"/>
      <sheetName val="10. &amp; 11. Rate Code &amp; BQ"/>
      <sheetName val="RA-markate"/>
      <sheetName val="detls"/>
      <sheetName val="Summary"/>
      <sheetName val="Sheet1"/>
      <sheetName val="Motor Data"/>
      <sheetName val="BOQ"/>
      <sheetName val="Manpower"/>
      <sheetName val="sand"/>
      <sheetName val="stone"/>
      <sheetName val="Project_Description1"/>
      <sheetName val="Project_Information1"/>
      <sheetName val="VA_TECH-Risk_Analysis-O&amp;M1"/>
      <sheetName val="Supplement_to_RA-O&amp;M1"/>
      <sheetName val="Legal_Risk_Analysis1"/>
      <sheetName val="Minimum_Requirements1"/>
      <sheetName val="VA_TECH-Risikoanalyse1"/>
      <sheetName val="Beiblatt_zur_RA1"/>
      <sheetName val="VA_TECH-Risikoanalyse-O&amp;M1"/>
      <sheetName val="Beiblatt_zur_RA-O&amp;M1"/>
      <sheetName val="7_Other_Costs1"/>
      <sheetName val="(10)_Other_Costs51"/>
      <sheetName val="STAFFSCHED_1"/>
      <sheetName val="Resul_Bio_(15)1"/>
      <sheetName val="P_I(BOU)"/>
      <sheetName val="P_I(DIA)"/>
      <sheetName val="Project_Description2"/>
      <sheetName val="Project_Information2"/>
      <sheetName val="VA_TECH-Risk_Analysis-O&amp;M2"/>
      <sheetName val="Supplement_to_RA-O&amp;M2"/>
      <sheetName val="Legal_Risk_Analysis2"/>
      <sheetName val="Minimum_Requirements2"/>
      <sheetName val="VA_TECH-Risikoanalyse2"/>
      <sheetName val="Beiblatt_zur_RA2"/>
      <sheetName val="VA_TECH-Risikoanalyse-O&amp;M2"/>
      <sheetName val="Beiblatt_zur_RA-O&amp;M2"/>
      <sheetName val="7_Other_Costs2"/>
      <sheetName val="(10)_Other_Costs52"/>
      <sheetName val="STAFFSCHED_2"/>
      <sheetName val="Resul_Bio_(15)2"/>
      <sheetName val="P_I(BOU)1"/>
      <sheetName val="P_I(DIA)1"/>
      <sheetName val="Project_Description3"/>
      <sheetName val="Project_Information3"/>
      <sheetName val="VA_TECH-Risk_Analysis-O&amp;M3"/>
      <sheetName val="Supplement_to_RA-O&amp;M3"/>
      <sheetName val="Legal_Risk_Analysis3"/>
      <sheetName val="Minimum_Requirements3"/>
      <sheetName val="VA_TECH-Risikoanalyse3"/>
      <sheetName val="Beiblatt_zur_RA3"/>
      <sheetName val="VA_TECH-Risikoanalyse-O&amp;M3"/>
      <sheetName val="Beiblatt_zur_RA-O&amp;M3"/>
      <sheetName val="7_Other_Costs3"/>
      <sheetName val="(10)_Other_Costs53"/>
      <sheetName val="STAFFSCHED_3"/>
      <sheetName val="Resul_Bio_(15)3"/>
      <sheetName val="P_I(BOU)2"/>
      <sheetName val="P_I(DIA)2"/>
      <sheetName val="Project_Description4"/>
      <sheetName val="Project_Information4"/>
      <sheetName val="VA_TECH-Risk_Analysis-O&amp;M4"/>
      <sheetName val="Supplement_to_RA-O&amp;M4"/>
      <sheetName val="Legal_Risk_Analysis4"/>
      <sheetName val="Minimum_Requirements4"/>
      <sheetName val="VA_TECH-Risikoanalyse4"/>
      <sheetName val="Beiblatt_zur_RA4"/>
      <sheetName val="VA_TECH-Risikoanalyse-O&amp;M4"/>
      <sheetName val="Beiblatt_zur_RA-O&amp;M4"/>
      <sheetName val="7_Other_Costs4"/>
      <sheetName val="(10)_Other_Costs54"/>
      <sheetName val="STAFFSCHED_4"/>
      <sheetName val="Resul_Bio_(15)4"/>
      <sheetName val="P_I(BOU)3"/>
      <sheetName val="P_I(DIA)3"/>
      <sheetName val="Project_Description5"/>
      <sheetName val="Project_Information5"/>
      <sheetName val="VA_TECH-Risk_Analysis-O&amp;M5"/>
      <sheetName val="Supplement_to_RA-O&amp;M5"/>
      <sheetName val="Legal_Risk_Analysis5"/>
      <sheetName val="Minimum_Requirements5"/>
      <sheetName val="VA_TECH-Risikoanalyse5"/>
      <sheetName val="Beiblatt_zur_RA5"/>
      <sheetName val="VA_TECH-Risikoanalyse-O&amp;M5"/>
      <sheetName val="Beiblatt_zur_RA-O&amp;M5"/>
      <sheetName val="7_Other_Costs5"/>
      <sheetName val="(10)_Other_Costs55"/>
      <sheetName val="STAFFSCHED_5"/>
      <sheetName val="Resul_Bio_(15)5"/>
      <sheetName val="P_I(BOU)4"/>
      <sheetName val="P_I(DIA)4"/>
      <sheetName val="Project_Description6"/>
      <sheetName val="Project_Information6"/>
      <sheetName val="VA_TECH-Risk_Analysis-O&amp;M6"/>
      <sheetName val="Supplement_to_RA-O&amp;M6"/>
      <sheetName val="Legal_Risk_Analysis6"/>
      <sheetName val="Minimum_Requirements6"/>
      <sheetName val="VA_TECH-Risikoanalyse6"/>
      <sheetName val="Beiblatt_zur_RA6"/>
      <sheetName val="VA_TECH-Risikoanalyse-O&amp;M6"/>
      <sheetName val="Beiblatt_zur_RA-O&amp;M6"/>
      <sheetName val="7_Other_Costs6"/>
      <sheetName val="(10)_Other_Costs56"/>
      <sheetName val="STAFFSCHED_6"/>
      <sheetName val="Resul_Bio_(15)6"/>
      <sheetName val="P_I(BOU)5"/>
      <sheetName val="P_I(DIA)5"/>
      <sheetName val="Project_Description7"/>
      <sheetName val="Project_Information7"/>
      <sheetName val="VA_TECH-Risk_Analysis-O&amp;M7"/>
      <sheetName val="Supplement_to_RA-O&amp;M7"/>
      <sheetName val="Legal_Risk_Analysis7"/>
      <sheetName val="Minimum_Requirements7"/>
      <sheetName val="VA_TECH-Risikoanalyse7"/>
      <sheetName val="Beiblatt_zur_RA7"/>
      <sheetName val="VA_TECH-Risikoanalyse-O&amp;M7"/>
      <sheetName val="Beiblatt_zur_RA-O&amp;M7"/>
      <sheetName val="7_Other_Costs7"/>
      <sheetName val="(10)_Other_Costs57"/>
      <sheetName val="STAFFSCHED_7"/>
      <sheetName val="Resul_Bio_(15)7"/>
      <sheetName val="P_I(BOU)6"/>
      <sheetName val="P_I(DIA)6"/>
      <sheetName val="Labour_&amp;_Plant"/>
      <sheetName val="LCS_SCHEDULE_"/>
      <sheetName val="10__&amp;_11__Rate_Code_&amp;_BQ"/>
      <sheetName val="Project_Description8"/>
      <sheetName val="Project_Information8"/>
      <sheetName val="VA_TECH-Risk_Analysis-O&amp;M8"/>
      <sheetName val="Supplement_to_RA-O&amp;M8"/>
      <sheetName val="Legal_Risk_Analysis8"/>
      <sheetName val="Minimum_Requirements8"/>
      <sheetName val="VA_TECH-Risikoanalyse8"/>
      <sheetName val="Beiblatt_zur_RA8"/>
      <sheetName val="VA_TECH-Risikoanalyse-O&amp;M8"/>
      <sheetName val="Beiblatt_zur_RA-O&amp;M8"/>
      <sheetName val="7_Other_Costs8"/>
      <sheetName val="(10)_Other_Costs58"/>
      <sheetName val="STAFFSCHED_8"/>
      <sheetName val="Resul_Bio_(15)8"/>
      <sheetName val="P_I(BOU)7"/>
      <sheetName val="P_I(DIA)7"/>
      <sheetName val="Labour_&amp;_Plant1"/>
      <sheetName val="LCS_SCHEDULE_1"/>
      <sheetName val="10__&amp;_11__Rate_Code_&amp;_BQ1"/>
      <sheetName val="Project_Description9"/>
      <sheetName val="Project_Information9"/>
      <sheetName val="VA_TECH-Risk_Analysis-O&amp;M9"/>
      <sheetName val="Supplement_to_RA-O&amp;M9"/>
      <sheetName val="Legal_Risk_Analysis9"/>
      <sheetName val="Minimum_Requirements9"/>
      <sheetName val="VA_TECH-Risikoanalyse9"/>
      <sheetName val="Beiblatt_zur_RA9"/>
      <sheetName val="VA_TECH-Risikoanalyse-O&amp;M9"/>
      <sheetName val="Beiblatt_zur_RA-O&amp;M9"/>
      <sheetName val="7_Other_Costs9"/>
      <sheetName val="(10)_Other_Costs59"/>
      <sheetName val="STAFFSCHED_9"/>
      <sheetName val="Resul_Bio_(15)9"/>
      <sheetName val="P_I(BOU)8"/>
      <sheetName val="P_I(DIA)8"/>
      <sheetName val="Labour_&amp;_Plant2"/>
      <sheetName val="LCS_SCHEDULE_2"/>
      <sheetName val="10__&amp;_11__Rate_Code_&amp;_BQ2"/>
      <sheetName val="Project_Description11"/>
      <sheetName val="Project_Information11"/>
      <sheetName val="VA_TECH-Risk_Analysis-O&amp;M11"/>
      <sheetName val="Supplement_to_RA-O&amp;M11"/>
      <sheetName val="Legal_Risk_Analysis11"/>
      <sheetName val="Minimum_Requirements11"/>
      <sheetName val="VA_TECH-Risikoanalyse11"/>
      <sheetName val="Beiblatt_zur_RA11"/>
      <sheetName val="VA_TECH-Risikoanalyse-O&amp;M11"/>
      <sheetName val="Beiblatt_zur_RA-O&amp;M11"/>
      <sheetName val="7_Other_Costs11"/>
      <sheetName val="(10)_Other_Costs511"/>
      <sheetName val="STAFFSCHED_11"/>
      <sheetName val="Resul_Bio_(15)11"/>
      <sheetName val="P_I(BOU)10"/>
      <sheetName val="P_I(DIA)10"/>
      <sheetName val="Labour_&amp;_Plant4"/>
      <sheetName val="LCS_SCHEDULE_4"/>
      <sheetName val="10__&amp;_11__Rate_Code_&amp;_BQ4"/>
      <sheetName val="Project_Description10"/>
      <sheetName val="Project_Information10"/>
      <sheetName val="VA_TECH-Risk_Analysis-O&amp;M10"/>
      <sheetName val="Supplement_to_RA-O&amp;M10"/>
      <sheetName val="Legal_Risk_Analysis10"/>
      <sheetName val="Minimum_Requirements10"/>
      <sheetName val="VA_TECH-Risikoanalyse10"/>
      <sheetName val="Beiblatt_zur_RA10"/>
      <sheetName val="VA_TECH-Risikoanalyse-O&amp;M10"/>
      <sheetName val="Beiblatt_zur_RA-O&amp;M10"/>
      <sheetName val="7_Other_Costs10"/>
      <sheetName val="(10)_Other_Costs510"/>
      <sheetName val="STAFFSCHED_10"/>
      <sheetName val="Resul_Bio_(15)10"/>
      <sheetName val="P_I(BOU)9"/>
      <sheetName val="P_I(DIA)9"/>
      <sheetName val="Labour_&amp;_Plant3"/>
      <sheetName val="LCS_SCHEDULE_3"/>
      <sheetName val="10__&amp;_11__Rate_Code_&amp;_BQ3"/>
      <sheetName val="Misc"/>
      <sheetName val="valsch"/>
      <sheetName val="FERM-MS"/>
      <sheetName val="local load"/>
      <sheetName val="Project_Description12"/>
      <sheetName val="Project_Information12"/>
      <sheetName val="VA_TECH-Risk_Analysis-O&amp;M12"/>
      <sheetName val="Supplement_to_RA-O&amp;M12"/>
      <sheetName val="Legal_Risk_Analysis12"/>
      <sheetName val="Minimum_Requirements12"/>
      <sheetName val="VA_TECH-Risikoanalyse12"/>
      <sheetName val="Beiblatt_zur_RA12"/>
      <sheetName val="VA_TECH-Risikoanalyse-O&amp;M12"/>
      <sheetName val="Beiblatt_zur_RA-O&amp;M12"/>
      <sheetName val="7_Other_Costs12"/>
      <sheetName val="(10)_Other_Costs512"/>
      <sheetName val="STAFFSCHED_12"/>
      <sheetName val="Resul_Bio_(15)12"/>
      <sheetName val="P_I(BOU)11"/>
      <sheetName val="P_I(DIA)11"/>
      <sheetName val="Labour_&amp;_Plant5"/>
      <sheetName val="LCS_SCHEDULE_5"/>
      <sheetName val="10__&amp;_11__Rate_Code_&amp;_BQ5"/>
      <sheetName val="Motor_Data"/>
      <sheetName val="local_load"/>
      <sheetName val="2. discharge characteristics"/>
      <sheetName val="Input &amp; Calculations"/>
      <sheetName val="User inputs"/>
      <sheetName val="Penn-1_WTP system"/>
      <sheetName val="BALAN1"/>
      <sheetName val="Lucas3"/>
      <sheetName val="purpose&amp;input"/>
      <sheetName val="Break up Sheet"/>
      <sheetName val="Pile cap"/>
      <sheetName val="Labor abs-NMR"/>
      <sheetName val="PIpe Pushing"/>
      <sheetName val="dummy"/>
      <sheetName val="reaction-table"/>
      <sheetName val="PRECAST lightconc-II"/>
      <sheetName val="Bid Calculation O&amp;M  (beta-vers"/>
      <sheetName val="select items_PMW"/>
      <sheetName val="D.Partida"/>
      <sheetName val="tables"/>
      <sheetName val="master"/>
      <sheetName val="F.1"/>
      <sheetName val="Debt"/>
      <sheetName val="Anex-1 Con Load"/>
      <sheetName val="OLD IC"/>
      <sheetName val="index"/>
      <sheetName val="Catalogue"/>
      <sheetName val="GN-ST-05"/>
      <sheetName val="Design Basis"/>
      <sheetName val="CWPH &amp; WTP-CAL"/>
      <sheetName val="Dsgn_Crt"/>
      <sheetName val="X8"/>
      <sheetName val="DGT"/>
      <sheetName val="General Aspects"/>
      <sheetName val="Financial Summary"/>
      <sheetName val="S4 - Staff"/>
      <sheetName val="FORM7"/>
      <sheetName val="m"/>
      <sheetName val="11 KV VEND"/>
      <sheetName val="Leg 1-1"/>
      <sheetName val="Global Life Cycle Data"/>
      <sheetName val="ORDER BOOKING"/>
      <sheetName val="SATHUMID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Config"/>
      <sheetName val="LATER-ANNEXURE"/>
      <sheetName val="6000"/>
      <sheetName val="Annx I"/>
      <sheetName val="Hydraulics (2)"/>
      <sheetName val="r"/>
      <sheetName val="Scour Valve DI- Short Body (2)"/>
      <sheetName val="BoQ-Admin Buld"/>
      <sheetName val="STRIP Sizing"/>
      <sheetName val="ssr-rates"/>
      <sheetName val="List"/>
      <sheetName val="Cul_detail"/>
      <sheetName val="final abstract"/>
      <sheetName val="EDWise"/>
      <sheetName val="BOQ fire proofing"/>
      <sheetName val="Sheet3"/>
      <sheetName val="RCC,Ret. Wall"/>
      <sheetName val="#REF"/>
      <sheetName val="CABLE DATA"/>
      <sheetName val="Equiv.Length"/>
      <sheetName val="Mass Balance"/>
      <sheetName val="Procal-BEP"/>
      <sheetName val="Project_Description14"/>
      <sheetName val="Project_Information14"/>
      <sheetName val="VA_TECH-Risk_Analysis-O&amp;M14"/>
      <sheetName val="Supplement_to_RA-O&amp;M14"/>
      <sheetName val="Legal_Risk_Analysis14"/>
      <sheetName val="Minimum_Requirements14"/>
      <sheetName val="VA_TECH-Risikoanalyse14"/>
      <sheetName val="Beiblatt_zur_RA14"/>
      <sheetName val="VA_TECH-Risikoanalyse-O&amp;M14"/>
      <sheetName val="Beiblatt_zur_RA-O&amp;M14"/>
      <sheetName val="7_Other_Costs14"/>
      <sheetName val="(10)_Other_Costs514"/>
      <sheetName val="STAFFSCHED_14"/>
      <sheetName val="Resul_Bio_(15)14"/>
      <sheetName val="P_I(BOU)13"/>
      <sheetName val="P_I(DIA)13"/>
      <sheetName val="Labour_&amp;_Plant7"/>
      <sheetName val="LCS_SCHEDULE_7"/>
      <sheetName val="10__&amp;_11__Rate_Code_&amp;_BQ7"/>
      <sheetName val="local_load2"/>
      <sheetName val="Motor_Data2"/>
      <sheetName val="select_items_PMW1"/>
      <sheetName val="PIpe_Pushing1"/>
      <sheetName val="Input_&amp;_Calculations1"/>
      <sheetName val="Break_up_Sheet1"/>
      <sheetName val="Pile_cap1"/>
      <sheetName val="Labor_abs-NMR1"/>
      <sheetName val="Anex-1_Con_Load1"/>
      <sheetName val="OLD_IC1"/>
      <sheetName val="F_11"/>
      <sheetName val="Bid_Calculation_O&amp;M__(beta-ver1"/>
      <sheetName val="PRECAST_lightconc-II1"/>
      <sheetName val="General_Aspects1"/>
      <sheetName val="Financial_Summary1"/>
      <sheetName val="User_inputs1"/>
      <sheetName val="Penn-1_WTP_system1"/>
      <sheetName val="2__discharge_characteristics1"/>
      <sheetName val="D_Partida1"/>
      <sheetName val="Design_Basis1"/>
      <sheetName val="CWPH_&amp;_WTP-CAL1"/>
      <sheetName val="Project_Description13"/>
      <sheetName val="Project_Information13"/>
      <sheetName val="VA_TECH-Risk_Analysis-O&amp;M13"/>
      <sheetName val="Supplement_to_RA-O&amp;M13"/>
      <sheetName val="Legal_Risk_Analysis13"/>
      <sheetName val="Minimum_Requirements13"/>
      <sheetName val="VA_TECH-Risikoanalyse13"/>
      <sheetName val="Beiblatt_zur_RA13"/>
      <sheetName val="VA_TECH-Risikoanalyse-O&amp;M13"/>
      <sheetName val="Beiblatt_zur_RA-O&amp;M13"/>
      <sheetName val="7_Other_Costs13"/>
      <sheetName val="(10)_Other_Costs513"/>
      <sheetName val="STAFFSCHED_13"/>
      <sheetName val="Resul_Bio_(15)13"/>
      <sheetName val="P_I(BOU)12"/>
      <sheetName val="P_I(DIA)12"/>
      <sheetName val="Labour_&amp;_Plant6"/>
      <sheetName val="LCS_SCHEDULE_6"/>
      <sheetName val="10__&amp;_11__Rate_Code_&amp;_BQ6"/>
      <sheetName val="local_load1"/>
      <sheetName val="Motor_Data1"/>
      <sheetName val="select_items_PMW"/>
      <sheetName val="PIpe_Pushing"/>
      <sheetName val="Input_&amp;_Calculations"/>
      <sheetName val="Break_up_Sheet"/>
      <sheetName val="Pile_cap"/>
      <sheetName val="Labor_abs-NMR"/>
      <sheetName val="Anex-1_Con_Load"/>
      <sheetName val="OLD_IC"/>
      <sheetName val="F_1"/>
      <sheetName val="Bid_Calculation_O&amp;M__(beta-vers"/>
      <sheetName val="PRECAST_lightconc-II"/>
      <sheetName val="General_Aspects"/>
      <sheetName val="Financial_Summary"/>
      <sheetName val="User_inputs"/>
      <sheetName val="Penn-1_WTP_system"/>
      <sheetName val="2__discharge_characteristics"/>
      <sheetName val="D_Partida"/>
      <sheetName val="Design_Basis"/>
      <sheetName val="CWPH_&amp;_WTP-CAL"/>
      <sheetName val="Project_Description15"/>
      <sheetName val="Project_Information15"/>
      <sheetName val="VA_TECH-Risk_Analysis-O&amp;M15"/>
      <sheetName val="Supplement_to_RA-O&amp;M15"/>
      <sheetName val="Legal_Risk_Analysis15"/>
      <sheetName val="Minimum_Requirements15"/>
      <sheetName val="VA_TECH-Risikoanalyse15"/>
      <sheetName val="Beiblatt_zur_RA15"/>
      <sheetName val="VA_TECH-Risikoanalyse-O&amp;M15"/>
      <sheetName val="Beiblatt_zur_RA-O&amp;M15"/>
      <sheetName val="7_Other_Costs15"/>
      <sheetName val="(10)_Other_Costs515"/>
      <sheetName val="STAFFSCHED_15"/>
      <sheetName val="Resul_Bio_(15)15"/>
      <sheetName val="P_I(BOU)14"/>
      <sheetName val="P_I(DIA)14"/>
      <sheetName val="Labour_&amp;_Plant8"/>
      <sheetName val="LCS_SCHEDULE_8"/>
      <sheetName val="10__&amp;_11__Rate_Code_&amp;_BQ8"/>
      <sheetName val="local_load3"/>
      <sheetName val="Motor_Data3"/>
      <sheetName val="select_items_PMW2"/>
      <sheetName val="PIpe_Pushing2"/>
      <sheetName val="Input_&amp;_Calculations2"/>
      <sheetName val="Break_up_Sheet2"/>
      <sheetName val="Pile_cap2"/>
      <sheetName val="Labor_abs-NMR2"/>
      <sheetName val="Anex-1_Con_Load2"/>
      <sheetName val="OLD_IC2"/>
      <sheetName val="F_12"/>
      <sheetName val="Bid_Calculation_O&amp;M__(beta-ver2"/>
      <sheetName val="PRECAST_lightconc-II2"/>
      <sheetName val="General_Aspects2"/>
      <sheetName val="Financial_Summary2"/>
      <sheetName val="User_inputs2"/>
      <sheetName val="Penn-1_WTP_system2"/>
      <sheetName val="2__discharge_characteristics2"/>
      <sheetName val="D_Partida2"/>
      <sheetName val="Design_Basis2"/>
      <sheetName val="CWPH_&amp;_WTP-CAL2"/>
      <sheetName val="Project_Description16"/>
      <sheetName val="Project_Information16"/>
      <sheetName val="VA_TECH-Risk_Analysis-O&amp;M16"/>
      <sheetName val="Supplement_to_RA-O&amp;M16"/>
      <sheetName val="Legal_Risk_Analysis16"/>
      <sheetName val="Minimum_Requirements16"/>
      <sheetName val="VA_TECH-Risikoanalyse16"/>
      <sheetName val="Beiblatt_zur_RA16"/>
      <sheetName val="VA_TECH-Risikoanalyse-O&amp;M16"/>
      <sheetName val="Beiblatt_zur_RA-O&amp;M16"/>
      <sheetName val="7_Other_Costs16"/>
      <sheetName val="(10)_Other_Costs516"/>
      <sheetName val="STAFFSCHED_16"/>
      <sheetName val="Resul_Bio_(15)16"/>
      <sheetName val="P_I(BOU)15"/>
      <sheetName val="P_I(DIA)15"/>
      <sheetName val="Labour_&amp;_Plant9"/>
      <sheetName val="LCS_SCHEDULE_9"/>
      <sheetName val="10__&amp;_11__Rate_Code_&amp;_BQ9"/>
      <sheetName val="local_load4"/>
      <sheetName val="Motor_Data4"/>
      <sheetName val="select_items_PMW3"/>
      <sheetName val="PIpe_Pushing3"/>
      <sheetName val="Input_&amp;_Calculations3"/>
      <sheetName val="Break_up_Sheet3"/>
      <sheetName val="Pile_cap3"/>
      <sheetName val="Labor_abs-NMR3"/>
      <sheetName val="Anex-1_Con_Load3"/>
      <sheetName val="OLD_IC3"/>
      <sheetName val="F_13"/>
      <sheetName val="Bid_Calculation_O&amp;M__(beta-ver3"/>
      <sheetName val="PRECAST_lightconc-II3"/>
      <sheetName val="General_Aspects3"/>
      <sheetName val="Financial_Summary3"/>
      <sheetName val="User_inputs3"/>
      <sheetName val="Penn-1_WTP_system3"/>
      <sheetName val="2__discharge_characteristics3"/>
      <sheetName val="D_Partida3"/>
      <sheetName val="Design_Basis3"/>
      <sheetName val="CWPH_&amp;_WTP-CAL3"/>
      <sheetName val="Project_Description17"/>
      <sheetName val="Project_Information17"/>
      <sheetName val="VA_TECH-Risk_Analysis-O&amp;M17"/>
      <sheetName val="Supplement_to_RA-O&amp;M17"/>
      <sheetName val="Legal_Risk_Analysis17"/>
      <sheetName val="Minimum_Requirements17"/>
      <sheetName val="VA_TECH-Risikoanalyse17"/>
      <sheetName val="Beiblatt_zur_RA17"/>
      <sheetName val="VA_TECH-Risikoanalyse-O&amp;M17"/>
      <sheetName val="Beiblatt_zur_RA-O&amp;M17"/>
      <sheetName val="7_Other_Costs17"/>
      <sheetName val="(10)_Other_Costs517"/>
      <sheetName val="STAFFSCHED_17"/>
      <sheetName val="Resul_Bio_(15)17"/>
      <sheetName val="P_I(BOU)16"/>
      <sheetName val="P_I(DIA)16"/>
      <sheetName val="Labour_&amp;_Plant10"/>
      <sheetName val="LCS_SCHEDULE_10"/>
      <sheetName val="10__&amp;_11__Rate_Code_&amp;_BQ10"/>
      <sheetName val="local_load5"/>
      <sheetName val="Motor_Data5"/>
      <sheetName val="select_items_PMW4"/>
      <sheetName val="PIpe_Pushing4"/>
      <sheetName val="Input_&amp;_Calculations4"/>
      <sheetName val="Break_up_Sheet4"/>
      <sheetName val="Pile_cap4"/>
      <sheetName val="Labor_abs-NMR4"/>
      <sheetName val="Anex-1_Con_Load4"/>
      <sheetName val="OLD_IC4"/>
      <sheetName val="F_14"/>
      <sheetName val="Bid_Calculation_O&amp;M__(beta-ver4"/>
      <sheetName val="PRECAST_lightconc-II4"/>
      <sheetName val="General_Aspects4"/>
      <sheetName val="Financial_Summary4"/>
      <sheetName val="User_inputs4"/>
      <sheetName val="Penn-1_WTP_system4"/>
      <sheetName val="2__discharge_characteristics4"/>
      <sheetName val="D_Partida4"/>
      <sheetName val="Design_Basis4"/>
      <sheetName val="CWPH_&amp;_WTP-CAL4"/>
      <sheetName val="Setup Variables"/>
      <sheetName val="RCC,Ret__Wall"/>
      <sheetName val="CABLE_DATA"/>
      <sheetName val="b.SUMP"/>
      <sheetName val="Wall W1"/>
      <sheetName val="Material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put FRC (2)"/>
      <sheetName val="Project Description"/>
      <sheetName val="Project Information"/>
      <sheetName val="VA TECH-Risk Analysis-O&amp;M"/>
      <sheetName val="Supplement to RA-O&amp;M"/>
      <sheetName val="Legal Risk Analysis"/>
      <sheetName val="FRC"/>
      <sheetName val="Minimum Requirements"/>
      <sheetName val="Input "/>
      <sheetName val="New_Wabagsheet_REV"/>
      <sheetName val="7 Other Costs"/>
      <sheetName val="ELECT"/>
      <sheetName val="COLUMN"/>
      <sheetName val="TehranBilanz"/>
      <sheetName val="Data"/>
      <sheetName val="#REF!"/>
      <sheetName val="(10) Other Costs5"/>
      <sheetName val="CGL"/>
      <sheetName val="Process"/>
      <sheetName val="RANGE"/>
      <sheetName val="LOCAL RATES"/>
      <sheetName val="A1a-2"/>
      <sheetName val="Boq"/>
      <sheetName val="13. Steel - Ratio"/>
      <sheetName val="SATHUMID"/>
      <sheetName val="Input_FRC_(2)"/>
      <sheetName val="Project_Description"/>
      <sheetName val="Project_Information"/>
      <sheetName val="VA_TECH-Risk_Analysis-O&amp;M"/>
      <sheetName val="Supplement_to_RA-O&amp;M"/>
      <sheetName val="Legal_Risk_Analysis"/>
      <sheetName val="Minimum_Requirements"/>
      <sheetName val="Input_"/>
      <sheetName val="7_Other_Costs"/>
      <sheetName val="(10)_Other_Costs5"/>
      <sheetName val="LOCAL_RATES"/>
      <sheetName val="MH_sd_de"/>
      <sheetName val="INPUT"/>
      <sheetName val="P.I(BOU)"/>
      <sheetName val="P.I(DIA)"/>
      <sheetName val="pr_cal"/>
      <sheetName val="Units"/>
      <sheetName val="FRA_DJB O&amp;M24.12.02"/>
      <sheetName val="LCS SCHEDULE "/>
      <sheetName val="pr.cal"/>
      <sheetName val="Civil Boq"/>
      <sheetName val="Qty-Opt1"/>
      <sheetName val="P+M  -Reverse Drum"/>
      <sheetName val="Macro1"/>
      <sheetName val="sept-plan"/>
      <sheetName val="Pile cap"/>
      <sheetName val="Main-Material"/>
      <sheetName val="HDPE-pipe-rates"/>
      <sheetName val="pvc-pipe-rates"/>
      <sheetName val="Pipe_spl_rate"/>
      <sheetName val="_x0000_OLUMN"/>
      <sheetName val="PIpe Pushing"/>
      <sheetName val="Summary"/>
      <sheetName val="Sheet2"/>
      <sheetName val="Manpower"/>
      <sheetName val="Input_FRC_(2)1"/>
      <sheetName val="Project_Description1"/>
      <sheetName val="Project_Information1"/>
      <sheetName val="VA_TECH-Risk_Analysis-O&amp;M1"/>
      <sheetName val="Supplement_to_RA-O&amp;M1"/>
      <sheetName val="Legal_Risk_Analysis1"/>
      <sheetName val="Minimum_Requirements1"/>
      <sheetName val="Input_1"/>
      <sheetName val="7_Other_Costs1"/>
      <sheetName val="(10)_Other_Costs51"/>
      <sheetName val="LOCAL_RATES1"/>
      <sheetName val="13__Steel_-_Ratio"/>
      <sheetName val="P_I(BOU)"/>
      <sheetName val="P_I(DIA)"/>
      <sheetName val="FRA_DJB_O&amp;M24_12_02"/>
      <sheetName val="LCS_SCHEDULE_"/>
      <sheetName val="pr_cal1"/>
      <sheetName val="Civil_Boq"/>
      <sheetName val="P+M__-Reverse_Drum"/>
      <sheetName val="Input_FRC_(2)2"/>
      <sheetName val="Project_Description2"/>
      <sheetName val="Project_Information2"/>
      <sheetName val="VA_TECH-Risk_Analysis-O&amp;M2"/>
      <sheetName val="Supplement_to_RA-O&amp;M2"/>
      <sheetName val="Legal_Risk_Analysis2"/>
      <sheetName val="Minimum_Requirements2"/>
      <sheetName val="Input_2"/>
      <sheetName val="7_Other_Costs2"/>
      <sheetName val="(10)_Other_Costs52"/>
      <sheetName val="LOCAL_RATES2"/>
      <sheetName val="13__Steel_-_Ratio1"/>
      <sheetName val="P_I(BOU)1"/>
      <sheetName val="P_I(DIA)1"/>
      <sheetName val="FRA_DJB_O&amp;M24_12_021"/>
      <sheetName val="LCS_SCHEDULE_1"/>
      <sheetName val="pr_cal2"/>
      <sheetName val="Civil_Boq1"/>
      <sheetName val="P+M__-Reverse_Drum1"/>
      <sheetName val="Pile_cap"/>
      <sheetName val="Input_FRC_(2)3"/>
      <sheetName val="Project_Description3"/>
      <sheetName val="Project_Information3"/>
      <sheetName val="VA_TECH-Risk_Analysis-O&amp;M3"/>
      <sheetName val="Supplement_to_RA-O&amp;M3"/>
      <sheetName val="Legal_Risk_Analysis3"/>
      <sheetName val="Minimum_Requirements3"/>
      <sheetName val="Input_3"/>
      <sheetName val="7_Other_Costs3"/>
      <sheetName val="(10)_Other_Costs53"/>
      <sheetName val="LOCAL_RATES3"/>
      <sheetName val="13__Steel_-_Ratio2"/>
      <sheetName val="P_I(BOU)2"/>
      <sheetName val="P_I(DIA)2"/>
      <sheetName val="FRA_DJB_O&amp;M24_12_022"/>
      <sheetName val="LCS_SCHEDULE_2"/>
      <sheetName val="pr_cal3"/>
      <sheetName val="Civil_Boq2"/>
      <sheetName val="P+M__-Reverse_Drum2"/>
      <sheetName val="Input_FRC_(2)4"/>
      <sheetName val="Project_Description4"/>
      <sheetName val="Project_Information4"/>
      <sheetName val="VA_TECH-Risk_Analysis-O&amp;M4"/>
      <sheetName val="Supplement_to_RA-O&amp;M4"/>
      <sheetName val="Legal_Risk_Analysis4"/>
      <sheetName val="Minimum_Requirements4"/>
      <sheetName val="Input_4"/>
      <sheetName val="7_Other_Costs4"/>
      <sheetName val="(10)_Other_Costs54"/>
      <sheetName val="LOCAL_RATES4"/>
      <sheetName val="13__Steel_-_Ratio3"/>
      <sheetName val="P_I(BOU)3"/>
      <sheetName val="P_I(DIA)3"/>
      <sheetName val="FRA_DJB_O&amp;M24_12_023"/>
      <sheetName val="LCS_SCHEDULE_3"/>
      <sheetName val="pr_cal4"/>
      <sheetName val="Civil_Boq3"/>
      <sheetName val="P+M__-Reverse_Drum3"/>
      <sheetName val="Pile_cap1"/>
      <sheetName val="Input_FRC_(2)5"/>
      <sheetName val="Project_Description5"/>
      <sheetName val="Project_Information5"/>
      <sheetName val="VA_TECH-Risk_Analysis-O&amp;M5"/>
      <sheetName val="Supplement_to_RA-O&amp;M5"/>
      <sheetName val="Legal_Risk_Analysis5"/>
      <sheetName val="Minimum_Requirements5"/>
      <sheetName val="Input_5"/>
      <sheetName val="7_Other_Costs5"/>
      <sheetName val="(10)_Other_Costs55"/>
      <sheetName val="LOCAL_RATES5"/>
      <sheetName val="13__Steel_-_Ratio4"/>
      <sheetName val="P_I(BOU)4"/>
      <sheetName val="P_I(DIA)4"/>
      <sheetName val="FRA_DJB_O&amp;M24_12_024"/>
      <sheetName val="LCS_SCHEDULE_4"/>
      <sheetName val="pr_cal5"/>
      <sheetName val="Civil_Boq4"/>
      <sheetName val="P+M__-Reverse_Drum4"/>
      <sheetName val="Pile_cap2"/>
      <sheetName val="Input_FRC_(2)6"/>
      <sheetName val="Project_Description6"/>
      <sheetName val="Project_Information6"/>
      <sheetName val="VA_TECH-Risk_Analysis-O&amp;M6"/>
      <sheetName val="Supplement_to_RA-O&amp;M6"/>
      <sheetName val="Legal_Risk_Analysis6"/>
      <sheetName val="Minimum_Requirements6"/>
      <sheetName val="Input_6"/>
      <sheetName val="7_Other_Costs6"/>
      <sheetName val="(10)_Other_Costs56"/>
      <sheetName val="LOCAL_RATES6"/>
      <sheetName val="13__Steel_-_Ratio5"/>
      <sheetName val="P_I(BOU)5"/>
      <sheetName val="P_I(DIA)5"/>
      <sheetName val="FRA_DJB_O&amp;M24_12_025"/>
      <sheetName val="LCS_SCHEDULE_5"/>
      <sheetName val="pr_cal6"/>
      <sheetName val="Civil_Boq5"/>
      <sheetName val="P+M__-Reverse_Drum5"/>
      <sheetName val="Pile_cap3"/>
      <sheetName val="Input_FRC_(2)7"/>
      <sheetName val="Project_Description7"/>
      <sheetName val="Project_Information7"/>
      <sheetName val="VA_TECH-Risk_Analysis-O&amp;M7"/>
      <sheetName val="Supplement_to_RA-O&amp;M7"/>
      <sheetName val="Legal_Risk_Analysis7"/>
      <sheetName val="Minimum_Requirements7"/>
      <sheetName val="Input_7"/>
      <sheetName val="7_Other_Costs7"/>
      <sheetName val="(10)_Other_Costs57"/>
      <sheetName val="LOCAL_RATES7"/>
      <sheetName val="13__Steel_-_Ratio6"/>
      <sheetName val="P_I(BOU)6"/>
      <sheetName val="P_I(DIA)6"/>
      <sheetName val="FRA_DJB_O&amp;M24_12_026"/>
      <sheetName val="LCS_SCHEDULE_6"/>
      <sheetName val="pr_cal7"/>
      <sheetName val="Civil_Boq6"/>
      <sheetName val="P+M__-Reverse_Drum6"/>
      <sheetName val="Pile_cap4"/>
      <sheetName val="PIpe_Pushing"/>
      <sheetName val="OLUMN"/>
      <sheetName val="Input_FRC_(2)8"/>
      <sheetName val="Project_Description8"/>
      <sheetName val="Project_Information8"/>
      <sheetName val="VA_TECH-Risk_Analysis-O&amp;M8"/>
      <sheetName val="Supplement_to_RA-O&amp;M8"/>
      <sheetName val="Legal_Risk_Analysis8"/>
      <sheetName val="Minimum_Requirements8"/>
      <sheetName val="Input_8"/>
      <sheetName val="7_Other_Costs8"/>
      <sheetName val="(10)_Other_Costs58"/>
      <sheetName val="LOCAL_RATES8"/>
      <sheetName val="13__Steel_-_Ratio7"/>
      <sheetName val="P_I(BOU)7"/>
      <sheetName val="P_I(DIA)7"/>
      <sheetName val="FRA_DJB_O&amp;M24_12_027"/>
      <sheetName val="LCS_SCHEDULE_7"/>
      <sheetName val="pr_cal8"/>
      <sheetName val="Civil_Boq7"/>
      <sheetName val="P+M__-Reverse_Drum7"/>
      <sheetName val="Pile_cap5"/>
      <sheetName val="PIpe_Pushing1"/>
      <sheetName val="Input_FRC_(2)9"/>
      <sheetName val="Project_Description9"/>
      <sheetName val="Project_Information9"/>
      <sheetName val="VA_TECH-Risk_Analysis-O&amp;M9"/>
      <sheetName val="Supplement_to_RA-O&amp;M9"/>
      <sheetName val="Legal_Risk_Analysis9"/>
      <sheetName val="Minimum_Requirements9"/>
      <sheetName val="Input_9"/>
      <sheetName val="7_Other_Costs9"/>
      <sheetName val="(10)_Other_Costs59"/>
      <sheetName val="LOCAL_RATES9"/>
      <sheetName val="13__Steel_-_Ratio8"/>
      <sheetName val="P_I(BOU)8"/>
      <sheetName val="P_I(DIA)8"/>
      <sheetName val="FRA_DJB_O&amp;M24_12_028"/>
      <sheetName val="LCS_SCHEDULE_8"/>
      <sheetName val="pr_cal9"/>
      <sheetName val="Civil_Boq8"/>
      <sheetName val="P+M__-Reverse_Drum8"/>
      <sheetName val="Pile_cap6"/>
      <sheetName val="PIpe_Pushing2"/>
      <sheetName val="Input_FRC_(2)11"/>
      <sheetName val="Project_Description11"/>
      <sheetName val="Project_Information11"/>
      <sheetName val="VA_TECH-Risk_Analysis-O&amp;M11"/>
      <sheetName val="Supplement_to_RA-O&amp;M11"/>
      <sheetName val="Legal_Risk_Analysis11"/>
      <sheetName val="Minimum_Requirements11"/>
      <sheetName val="Input_11"/>
      <sheetName val="7_Other_Costs11"/>
      <sheetName val="(10)_Other_Costs511"/>
      <sheetName val="LOCAL_RATES11"/>
      <sheetName val="13__Steel_-_Ratio10"/>
      <sheetName val="Civil_Boq10"/>
      <sheetName val="P+M__-Reverse_Drum10"/>
      <sheetName val="P_I(BOU)10"/>
      <sheetName val="P_I(DIA)10"/>
      <sheetName val="FRA_DJB_O&amp;M24_12_0210"/>
      <sheetName val="LCS_SCHEDULE_10"/>
      <sheetName val="pr_cal11"/>
      <sheetName val="Pile_cap8"/>
      <sheetName val="PIpe_Pushing4"/>
      <sheetName val="Input_FRC_(2)10"/>
      <sheetName val="Project_Description10"/>
      <sheetName val="Project_Information10"/>
      <sheetName val="VA_TECH-Risk_Analysis-O&amp;M10"/>
      <sheetName val="Supplement_to_RA-O&amp;M10"/>
      <sheetName val="Legal_Risk_Analysis10"/>
      <sheetName val="Minimum_Requirements10"/>
      <sheetName val="Input_10"/>
      <sheetName val="7_Other_Costs10"/>
      <sheetName val="(10)_Other_Costs510"/>
      <sheetName val="LOCAL_RATES10"/>
      <sheetName val="13__Steel_-_Ratio9"/>
      <sheetName val="Civil_Boq9"/>
      <sheetName val="P+M__-Reverse_Drum9"/>
      <sheetName val="P_I(BOU)9"/>
      <sheetName val="P_I(DIA)9"/>
      <sheetName val="FRA_DJB_O&amp;M24_12_029"/>
      <sheetName val="LCS_SCHEDULE_9"/>
      <sheetName val="pr_cal10"/>
      <sheetName val="Pile_cap7"/>
      <sheetName val="PIpe_Pushing3"/>
      <sheetName val="?OLUMN"/>
      <sheetName val=""/>
      <sheetName val="Input_FRC_(2)12"/>
      <sheetName val="Project_Description12"/>
      <sheetName val="Project_Information12"/>
      <sheetName val="VA_TECH-Risk_Analysis-O&amp;M12"/>
      <sheetName val="Supplement_to_RA-O&amp;M12"/>
      <sheetName val="Legal_Risk_Analysis12"/>
      <sheetName val="Minimum_Requirements12"/>
      <sheetName val="Input_12"/>
      <sheetName val="7_Other_Costs12"/>
      <sheetName val="(10)_Other_Costs512"/>
      <sheetName val="LOCAL_RATES12"/>
      <sheetName val="13__Steel_-_Ratio11"/>
      <sheetName val="Civil_Boq11"/>
      <sheetName val="P+M__-Reverse_Drum11"/>
      <sheetName val="P_I(BOU)11"/>
      <sheetName val="P_I(DIA)11"/>
      <sheetName val="FRA_DJB_O&amp;M24_12_0211"/>
      <sheetName val="LCS_SCHEDULE_11"/>
      <sheetName val="pr_cal12"/>
      <sheetName val="Pile_cap9"/>
      <sheetName val="PIpe_Pushing5"/>
      <sheetName val="BALAN1"/>
      <sheetName val="SPT vs PHI"/>
      <sheetName val="MH BUDGET JAN'98"/>
      <sheetName val="book1"/>
      <sheetName val="15THMONTH"/>
      <sheetName val="p_2"/>
      <sheetName val="MH CONSPTN"/>
      <sheetName val="BASE DATI"/>
      <sheetName val="ENGG"/>
      <sheetName val="MixBed"/>
      <sheetName val="_x005f_x0000_OLUMN"/>
      <sheetName val="Lucas3"/>
      <sheetName val="RA-markate"/>
      <sheetName val="_x005f_x005f_x005f_x0000_OLUMN"/>
      <sheetName val="_x005f_x005f_x005f_x005f_x005f_x005f_x005f_x0000_OLUMN"/>
      <sheetName val="Motor Data"/>
      <sheetName val="_OLUMN"/>
      <sheetName val="Misc"/>
      <sheetName val="D.Partida"/>
      <sheetName val="purpose&amp;input"/>
      <sheetName val="Material"/>
      <sheetName val="PRICE DRAFT"/>
      <sheetName val="pt-cw"/>
      <sheetName val="FERM-MS"/>
      <sheetName val="ggcvcomp"/>
      <sheetName val="HT-INTROD"/>
      <sheetName val="Footing"/>
      <sheetName val=" WORKING"/>
      <sheetName val="Abstract Sheet"/>
      <sheetName val="leads"/>
      <sheetName val="Cal"/>
      <sheetName val="작성방법"/>
      <sheetName val="v"/>
      <sheetName val="scour depth"/>
      <sheetName val="Data_Ref_Lists"/>
      <sheetName val="leads (2)"/>
      <sheetName val="DsnConcept"/>
      <sheetName val="Inhalt"/>
      <sheetName val="Salary"/>
      <sheetName val="Labor abs-NMR"/>
      <sheetName val="Plant &amp;  Machinery"/>
      <sheetName val="Break up Sheet"/>
      <sheetName val="LOAD CALCULATIONS"/>
      <sheetName val="See List"/>
      <sheetName val="PRECAST lightconc-II"/>
      <sheetName val="TBAL9697 -group wise  sdpl"/>
      <sheetName val="std.wt."/>
      <sheetName val="dummy"/>
      <sheetName val="Rechtsrisikoanalyse"/>
      <sheetName val="Resul Bio (15)"/>
      <sheetName val="List"/>
      <sheetName val="final abstract"/>
      <sheetName val="TS-TC"/>
      <sheetName val="BOQ-Tower"/>
      <sheetName val="BOQ_Direct_selling cost"/>
      <sheetName val="BOQ_SERENO"/>
      <sheetName val="Design"/>
      <sheetName val="Names&amp;Cases"/>
      <sheetName val="CF4 (R)"/>
      <sheetName val="Purlin(7m)"/>
      <sheetName val="IS3370"/>
      <sheetName val="IS456"/>
      <sheetName val="2days16-19-22-23-24-26-27-28"/>
      <sheetName val="STRIP Sizing"/>
      <sheetName val="설비비3"/>
      <sheetName val="OLD IC"/>
      <sheetName val="Input_FRC_(2)14"/>
      <sheetName val="Project_Description14"/>
      <sheetName val="Project_Information14"/>
      <sheetName val="VA_TECH-Risk_Analysis-O&amp;M14"/>
      <sheetName val="Supplement_to_RA-O&amp;M14"/>
      <sheetName val="Legal_Risk_Analysis14"/>
      <sheetName val="Minimum_Requirements14"/>
      <sheetName val="Input_14"/>
      <sheetName val="7_Other_Costs14"/>
      <sheetName val="(10)_Other_Costs514"/>
      <sheetName val="LOCAL_RATES14"/>
      <sheetName val="13__Steel_-_Ratio13"/>
      <sheetName val="P_I(BOU)13"/>
      <sheetName val="P_I(DIA)13"/>
      <sheetName val="FRA_DJB_O&amp;M24_12_0213"/>
      <sheetName val="LCS_SCHEDULE_13"/>
      <sheetName val="pr_cal14"/>
      <sheetName val="Civil_Boq13"/>
      <sheetName val="P+M__-Reverse_Drum13"/>
      <sheetName val="Pile_cap11"/>
      <sheetName val="PIpe_Pushing7"/>
      <sheetName val="Motor_Data1"/>
      <sheetName val="_WORKING1"/>
      <sheetName val="Abstract_Sheet1"/>
      <sheetName val="scour_depth1"/>
      <sheetName val="leads_(2)1"/>
      <sheetName val="SPT_vs_PHI1"/>
      <sheetName val="MH_BUDGET_JAN'981"/>
      <sheetName val="MH_CONSPTN1"/>
      <sheetName val="BASE_DATI1"/>
      <sheetName val="D_Partida1"/>
      <sheetName val="Labor_abs-NMR1"/>
      <sheetName val="Input_FRC_(2)13"/>
      <sheetName val="Project_Description13"/>
      <sheetName val="Project_Information13"/>
      <sheetName val="VA_TECH-Risk_Analysis-O&amp;M13"/>
      <sheetName val="Supplement_to_RA-O&amp;M13"/>
      <sheetName val="Legal_Risk_Analysis13"/>
      <sheetName val="Minimum_Requirements13"/>
      <sheetName val="Input_13"/>
      <sheetName val="7_Other_Costs13"/>
      <sheetName val="(10)_Other_Costs513"/>
      <sheetName val="LOCAL_RATES13"/>
      <sheetName val="13__Steel_-_Ratio12"/>
      <sheetName val="P_I(BOU)12"/>
      <sheetName val="P_I(DIA)12"/>
      <sheetName val="FRA_DJB_O&amp;M24_12_0212"/>
      <sheetName val="LCS_SCHEDULE_12"/>
      <sheetName val="pr_cal13"/>
      <sheetName val="Civil_Boq12"/>
      <sheetName val="P+M__-Reverse_Drum12"/>
      <sheetName val="Pile_cap10"/>
      <sheetName val="PIpe_Pushing6"/>
      <sheetName val="Motor_Data"/>
      <sheetName val="_WORKING"/>
      <sheetName val="Abstract_Sheet"/>
      <sheetName val="scour_depth"/>
      <sheetName val="leads_(2)"/>
      <sheetName val="SPT_vs_PHI"/>
      <sheetName val="MH_BUDGET_JAN'98"/>
      <sheetName val="MH_CONSPTN"/>
      <sheetName val="BASE_DATI"/>
      <sheetName val="D_Partida"/>
      <sheetName val="Labor_abs-NMR"/>
      <sheetName val="Input_FRC_(2)15"/>
      <sheetName val="Project_Description15"/>
      <sheetName val="Project_Information15"/>
      <sheetName val="VA_TECH-Risk_Analysis-O&amp;M15"/>
      <sheetName val="Supplement_to_RA-O&amp;M15"/>
      <sheetName val="Legal_Risk_Analysis15"/>
      <sheetName val="Minimum_Requirements15"/>
      <sheetName val="Input_15"/>
      <sheetName val="7_Other_Costs15"/>
      <sheetName val="(10)_Other_Costs515"/>
      <sheetName val="LOCAL_RATES15"/>
      <sheetName val="13__Steel_-_Ratio14"/>
      <sheetName val="P_I(BOU)14"/>
      <sheetName val="P_I(DIA)14"/>
      <sheetName val="FRA_DJB_O&amp;M24_12_0214"/>
      <sheetName val="LCS_SCHEDULE_14"/>
      <sheetName val="pr_cal15"/>
      <sheetName val="Civil_Boq14"/>
      <sheetName val="P+M__-Reverse_Drum14"/>
      <sheetName val="Pile_cap12"/>
      <sheetName val="PIpe_Pushing8"/>
      <sheetName val="Motor_Data2"/>
      <sheetName val="_WORKING2"/>
      <sheetName val="Abstract_Sheet2"/>
      <sheetName val="scour_depth2"/>
      <sheetName val="leads_(2)2"/>
      <sheetName val="SPT_vs_PHI2"/>
      <sheetName val="MH_BUDGET_JAN'982"/>
      <sheetName val="MH_CONSPTN2"/>
      <sheetName val="BASE_DATI2"/>
      <sheetName val="D_Partida2"/>
      <sheetName val="Labor_abs-NMR2"/>
      <sheetName val="Input_FRC_(2)16"/>
      <sheetName val="Project_Description16"/>
      <sheetName val="Project_Information16"/>
      <sheetName val="VA_TECH-Risk_Analysis-O&amp;M16"/>
      <sheetName val="Supplement_to_RA-O&amp;M16"/>
      <sheetName val="Legal_Risk_Analysis16"/>
      <sheetName val="Minimum_Requirements16"/>
      <sheetName val="Input_16"/>
      <sheetName val="7_Other_Costs16"/>
      <sheetName val="(10)_Other_Costs516"/>
      <sheetName val="LOCAL_RATES16"/>
      <sheetName val="13__Steel_-_Ratio15"/>
      <sheetName val="P_I(BOU)15"/>
      <sheetName val="P_I(DIA)15"/>
      <sheetName val="FRA_DJB_O&amp;M24_12_0215"/>
      <sheetName val="LCS_SCHEDULE_15"/>
      <sheetName val="pr_cal16"/>
      <sheetName val="Civil_Boq15"/>
      <sheetName val="P+M__-Reverse_Drum15"/>
      <sheetName val="Pile_cap13"/>
      <sheetName val="PIpe_Pushing9"/>
      <sheetName val="Motor_Data3"/>
      <sheetName val="_WORKING3"/>
      <sheetName val="Abstract_Sheet3"/>
      <sheetName val="scour_depth3"/>
      <sheetName val="leads_(2)3"/>
      <sheetName val="SPT_vs_PHI3"/>
      <sheetName val="MH_BUDGET_JAN'983"/>
      <sheetName val="MH_CONSPTN3"/>
      <sheetName val="BASE_DATI3"/>
      <sheetName val="D_Partida3"/>
      <sheetName val="Labor_abs-NMR3"/>
      <sheetName val="Input_FRC_(2)17"/>
      <sheetName val="Project_Description17"/>
      <sheetName val="Project_Information17"/>
      <sheetName val="VA_TECH-Risk_Analysis-O&amp;M17"/>
      <sheetName val="Supplement_to_RA-O&amp;M17"/>
      <sheetName val="Legal_Risk_Analysis17"/>
      <sheetName val="Minimum_Requirements17"/>
      <sheetName val="Input_17"/>
      <sheetName val="7_Other_Costs17"/>
      <sheetName val="(10)_Other_Costs517"/>
      <sheetName val="LOCAL_RATES17"/>
      <sheetName val="13__Steel_-_Ratio16"/>
      <sheetName val="P_I(BOU)16"/>
      <sheetName val="P_I(DIA)16"/>
      <sheetName val="FRA_DJB_O&amp;M24_12_0216"/>
      <sheetName val="LCS_SCHEDULE_16"/>
      <sheetName val="pr_cal17"/>
      <sheetName val="Civil_Boq16"/>
      <sheetName val="P+M__-Reverse_Drum16"/>
      <sheetName val="Pile_cap14"/>
      <sheetName val="PIpe_Pushing10"/>
      <sheetName val="Motor_Data4"/>
      <sheetName val="_WORKING4"/>
      <sheetName val="Abstract_Sheet4"/>
      <sheetName val="scour_depth4"/>
      <sheetName val="leads_(2)4"/>
      <sheetName val="SPT_vs_PHI4"/>
      <sheetName val="MH_BUDGET_JAN'984"/>
      <sheetName val="MH_CONSPTN4"/>
      <sheetName val="BASE_DATI4"/>
      <sheetName val="D_Partida4"/>
      <sheetName val="Labor_abs-NMR4"/>
      <sheetName val="tables"/>
      <sheetName val="Penn-1_WTP system"/>
      <sheetName val="Equiv.Length"/>
      <sheetName val="Rate analysis"/>
      <sheetName val="Security cabin"/>
      <sheetName val="Site Grading"/>
      <sheetName val="Production Building "/>
      <sheetName val="Pump Room "/>
      <sheetName val="Dock leveller &amp; Ramp"/>
      <sheetName val="Sprinkler Source"/>
      <sheetName val="Metering room"/>
      <sheetName val="Septic Tank"/>
      <sheetName val="Soak Pit"/>
      <sheetName val="Raw water tank"/>
      <sheetName val="Compound wall"/>
      <sheetName val="Gate"/>
      <sheetName val="Drain"/>
      <sheetName val="Road"/>
      <sheetName val="Paver block"/>
      <sheetName val="Hume Pipe"/>
      <sheetName val="Structural Work"/>
      <sheetName val="Plumping"/>
      <sheetName val="List of Building"/>
      <sheetName val="Equiv_Length"/>
      <sheetName val="final_abstract"/>
      <sheetName val="BOQ_Direct_selling_cost"/>
      <sheetName val="Rate_analysis"/>
      <sheetName val="Security_cabin"/>
      <sheetName val="Site_Grading"/>
      <sheetName val="Production_Building_"/>
      <sheetName val="Pump_Room_"/>
      <sheetName val="Dock_leveller_&amp;_Ramp"/>
      <sheetName val="Sprinkler_Source"/>
      <sheetName val="Metering_room"/>
      <sheetName val="Septic_Tank"/>
      <sheetName val="Soak_Pit"/>
      <sheetName val="Raw_water_tank"/>
      <sheetName val="Compound_wall"/>
      <sheetName val="Paver_block"/>
      <sheetName val="Hume_Pipe"/>
      <sheetName val="Structural_Work"/>
      <sheetName val="List_of_Building"/>
      <sheetName val="DOC-Register"/>
      <sheetName val="Sluice V C DI Pipe- Short B (2)"/>
      <sheetName val="11 KV VEND"/>
      <sheetName val="BOQ fire proofing"/>
      <sheetName val="Sheet3"/>
      <sheetName val="RECAPITULATION"/>
      <sheetName val="Desgn(zone I)"/>
      <sheetName val="Electrical"/>
      <sheetName val="b.SU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put FRC (2)"/>
      <sheetName val="Project Description"/>
      <sheetName val="Project Information"/>
      <sheetName val="VA TECH-Risk Analysis-O&amp;M"/>
      <sheetName val="Supplement to RA-O&amp;M"/>
      <sheetName val="Legal Risk Analysis"/>
      <sheetName val="FRC"/>
      <sheetName val="Minimum Requirements"/>
      <sheetName val="Input "/>
      <sheetName val="7 Other Costs"/>
      <sheetName val="TehranBilanz"/>
      <sheetName val="Data"/>
      <sheetName val="#REF!"/>
      <sheetName val="ELECT"/>
      <sheetName val="(10) Other Costs5"/>
      <sheetName val="CGL"/>
      <sheetName val="Boq"/>
      <sheetName val="13. Steel - Ratio"/>
      <sheetName val="SATHUMID"/>
      <sheetName val="Civil Boq"/>
      <sheetName val="Pile cap"/>
      <sheetName val="Qty-Opt1"/>
      <sheetName val="P+M  -Reverse Drum"/>
      <sheetName val="Pipe_spl_rate"/>
      <sheetName val="Material"/>
      <sheetName val="New_Wabagsheet_REV"/>
      <sheetName val="COLUMN"/>
      <sheetName val="Abstract Sheet"/>
      <sheetName val=" WORKING"/>
      <sheetName val="DsnConcept"/>
      <sheetName val="INPUT"/>
      <sheetName val="Inhalt"/>
      <sheetName val="Footing"/>
      <sheetName val="leads"/>
      <sheetName val="Cal"/>
      <sheetName val="Input_FRC_(2)"/>
      <sheetName val="Project_Description"/>
      <sheetName val="Project_Information"/>
      <sheetName val="VA_TECH-Risk_Analysis-O&amp;M"/>
      <sheetName val="Supplement_to_RA-O&amp;M"/>
      <sheetName val="Legal_Risk_Analysis"/>
      <sheetName val="Minimum_Requirements"/>
      <sheetName val="Input_"/>
      <sheetName val="7_Other_Costs"/>
      <sheetName val="(10)_Other_Costs5"/>
      <sheetName val="13__Steel_-_Ratio"/>
      <sheetName val="Civil_Boq"/>
      <sheetName val="P+M__-Reverse_Drum"/>
      <sheetName val="Pile_cap"/>
      <sheetName val="Salary"/>
      <sheetName val="v"/>
      <sheetName val="std.wt."/>
      <sheetName val="작성방법"/>
      <sheetName val="dm tank allow"/>
      <sheetName val="Abstract_Sheet"/>
      <sheetName val="_WORKING"/>
      <sheetName val="BALAN1"/>
      <sheetName val="Sheet2"/>
      <sheetName val="See List"/>
      <sheetName val="scour depth"/>
      <sheetName val="DN backwash pump"/>
      <sheetName val="Dsgn_Crt"/>
      <sheetName val="FUNCTION"/>
      <sheetName val="Equipment Information"/>
      <sheetName val="Equipment Block"/>
      <sheetName val="Input_FRC_(2)1"/>
      <sheetName val="Project_Description1"/>
      <sheetName val="Project_Information1"/>
      <sheetName val="VA_TECH-Risk_Analysis-O&amp;M1"/>
      <sheetName val="Supplement_to_RA-O&amp;M1"/>
      <sheetName val="Legal_Risk_Analysis1"/>
      <sheetName val="Minimum_Requirements1"/>
      <sheetName val="Input_1"/>
      <sheetName val="7_Other_Costs1"/>
      <sheetName val="(10)_Other_Costs51"/>
      <sheetName val="13__Steel_-_Ratio1"/>
      <sheetName val="Civil_Boq1"/>
      <sheetName val="P+M__-Reverse_Drum1"/>
      <sheetName val="Pile_cap1"/>
      <sheetName val="Abstract_Sheet1"/>
      <sheetName val="_WORKING1"/>
      <sheetName val="Input_FRC_(2)2"/>
      <sheetName val="Project_Description2"/>
      <sheetName val="Project_Information2"/>
      <sheetName val="VA_TECH-Risk_Analysis-O&amp;M2"/>
      <sheetName val="Supplement_to_RA-O&amp;M2"/>
      <sheetName val="Legal_Risk_Analysis2"/>
      <sheetName val="Minimum_Requirements2"/>
      <sheetName val="Input_2"/>
      <sheetName val="7_Other_Costs2"/>
      <sheetName val="(10)_Other_Costs52"/>
      <sheetName val="13__Steel_-_Ratio2"/>
      <sheetName val="Civil_Boq2"/>
      <sheetName val="P+M__-Reverse_Drum2"/>
      <sheetName val="Pile_cap2"/>
      <sheetName val="Abstract_Sheet2"/>
      <sheetName val="_WORKING2"/>
      <sheetName val="Input_FRC_(2)3"/>
      <sheetName val="Project_Description3"/>
      <sheetName val="Project_Information3"/>
      <sheetName val="VA_TECH-Risk_Analysis-O&amp;M3"/>
      <sheetName val="Supplement_to_RA-O&amp;M3"/>
      <sheetName val="Legal_Risk_Analysis3"/>
      <sheetName val="Minimum_Requirements3"/>
      <sheetName val="Input_3"/>
      <sheetName val="7_Other_Costs3"/>
      <sheetName val="(10)_Other_Costs53"/>
      <sheetName val="13__Steel_-_Ratio3"/>
      <sheetName val="Civil_Boq3"/>
      <sheetName val="P+M__-Reverse_Drum3"/>
      <sheetName val="Pile_cap3"/>
      <sheetName val="Abstract_Sheet3"/>
      <sheetName val="_WORKING3"/>
      <sheetName val="Data_Ref_Lists"/>
      <sheetName val="leads (2)"/>
      <sheetName val="HDPE-pipe-rates"/>
      <sheetName val="pvc-pipe-rates"/>
      <sheetName val="Process"/>
      <sheetName val="RANGE"/>
      <sheetName val="LOCAL RATES"/>
      <sheetName val="Main-Material"/>
      <sheetName val=""/>
      <sheetName val="A1a-2"/>
      <sheetName val="LOCAL_RATES"/>
      <sheetName val="MH_sd_de"/>
      <sheetName val="P.I(BOU)"/>
      <sheetName val="P.I(DIA)"/>
      <sheetName val="pr_cal"/>
      <sheetName val="Units"/>
      <sheetName val="FRA_DJB O&amp;M24.12.02"/>
      <sheetName val="LCS SCHEDULE "/>
      <sheetName val="pr.cal"/>
      <sheetName val="Macro1"/>
      <sheetName val="sept-plan"/>
      <sheetName val="PIpe Pushing"/>
      <sheetName val="Summary"/>
      <sheetName val="LOCAL_RATES1"/>
      <sheetName val="P_I(BOU)"/>
      <sheetName val="P_I(DIA)"/>
      <sheetName val="FRA_DJB_O&amp;M24_12_02"/>
      <sheetName val="LCS_SCHEDULE_"/>
      <sheetName val="pr_cal1"/>
      <sheetName val="LOCAL_RATES2"/>
      <sheetName val="P_I(BOU)1"/>
      <sheetName val="P_I(DIA)1"/>
      <sheetName val="FRA_DJB_O&amp;M24_12_021"/>
      <sheetName val="LCS_SCHEDULE_1"/>
      <sheetName val="pr_cal2"/>
      <sheetName val="LOCAL_RATES3"/>
      <sheetName val="P_I(BOU)2"/>
      <sheetName val="P_I(DIA)2"/>
      <sheetName val="FRA_DJB_O&amp;M24_12_022"/>
      <sheetName val="LCS_SCHEDULE_2"/>
      <sheetName val="pr_cal3"/>
      <sheetName val="Input_FRC_(2)4"/>
      <sheetName val="Project_Description4"/>
      <sheetName val="Project_Information4"/>
      <sheetName val="VA_TECH-Risk_Analysis-O&amp;M4"/>
      <sheetName val="Supplement_to_RA-O&amp;M4"/>
      <sheetName val="Legal_Risk_Analysis4"/>
      <sheetName val="Minimum_Requirements4"/>
      <sheetName val="Input_4"/>
      <sheetName val="7_Other_Costs4"/>
      <sheetName val="(10)_Other_Costs54"/>
      <sheetName val="LOCAL_RATES4"/>
      <sheetName val="P_I(BOU)3"/>
      <sheetName val="P_I(DIA)3"/>
      <sheetName val="FRA_DJB_O&amp;M24_12_023"/>
      <sheetName val="LCS_SCHEDULE_3"/>
      <sheetName val="pr_cal4"/>
      <sheetName val="Input_FRC_(2)5"/>
      <sheetName val="Project_Description5"/>
      <sheetName val="Project_Information5"/>
      <sheetName val="VA_TECH-Risk_Analysis-O&amp;M5"/>
      <sheetName val="Supplement_to_RA-O&amp;M5"/>
      <sheetName val="Legal_Risk_Analysis5"/>
      <sheetName val="Minimum_Requirements5"/>
      <sheetName val="Input_5"/>
      <sheetName val="7_Other_Costs5"/>
      <sheetName val="(10)_Other_Costs55"/>
      <sheetName val="LOCAL_RATES5"/>
      <sheetName val="13__Steel_-_Ratio4"/>
      <sheetName val="P_I(BOU)4"/>
      <sheetName val="P_I(DIA)4"/>
      <sheetName val="FRA_DJB_O&amp;M24_12_024"/>
      <sheetName val="LCS_SCHEDULE_4"/>
      <sheetName val="pr_cal5"/>
      <sheetName val="Civil_Boq4"/>
      <sheetName val="P+M__-Reverse_Drum4"/>
      <sheetName val="Input_FRC_(2)6"/>
      <sheetName val="Project_Description6"/>
      <sheetName val="Project_Information6"/>
      <sheetName val="VA_TECH-Risk_Analysis-O&amp;M6"/>
      <sheetName val="Supplement_to_RA-O&amp;M6"/>
      <sheetName val="Legal_Risk_Analysis6"/>
      <sheetName val="Minimum_Requirements6"/>
      <sheetName val="Input_6"/>
      <sheetName val="7_Other_Costs6"/>
      <sheetName val="(10)_Other_Costs56"/>
      <sheetName val="LOCAL_RATES6"/>
      <sheetName val="13__Steel_-_Ratio5"/>
      <sheetName val="P_I(BOU)5"/>
      <sheetName val="P_I(DIA)5"/>
      <sheetName val="FRA_DJB_O&amp;M24_12_025"/>
      <sheetName val="LCS_SCHEDULE_5"/>
      <sheetName val="pr_cal6"/>
      <sheetName val="Civil_Boq5"/>
      <sheetName val="P+M__-Reverse_Drum5"/>
      <sheetName val="Input_FRC_(2)7"/>
      <sheetName val="Project_Description7"/>
      <sheetName val="Project_Information7"/>
      <sheetName val="VA_TECH-Risk_Analysis-O&amp;M7"/>
      <sheetName val="Supplement_to_RA-O&amp;M7"/>
      <sheetName val="Legal_Risk_Analysis7"/>
      <sheetName val="Minimum_Requirements7"/>
      <sheetName val="Input_7"/>
      <sheetName val="7_Other_Costs7"/>
      <sheetName val="(10)_Other_Costs57"/>
      <sheetName val="LOCAL_RATES7"/>
      <sheetName val="13__Steel_-_Ratio6"/>
      <sheetName val="P_I(BOU)6"/>
      <sheetName val="P_I(DIA)6"/>
      <sheetName val="FRA_DJB_O&amp;M24_12_026"/>
      <sheetName val="LCS_SCHEDULE_6"/>
      <sheetName val="pr_cal7"/>
      <sheetName val="Civil_Boq6"/>
      <sheetName val="P+M__-Reverse_Drum6"/>
      <sheetName val="Pile_cap4"/>
      <sheetName val="PIpe_Pushing"/>
      <sheetName val="OLUMN"/>
      <sheetName val="Input_FRC_(2)8"/>
      <sheetName val="Project_Description8"/>
      <sheetName val="Project_Information8"/>
      <sheetName val="VA_TECH-Risk_Analysis-O&amp;M8"/>
      <sheetName val="Supplement_to_RA-O&amp;M8"/>
      <sheetName val="Legal_Risk_Analysis8"/>
      <sheetName val="Minimum_Requirements8"/>
      <sheetName val="Input_8"/>
      <sheetName val="7_Other_Costs8"/>
      <sheetName val="(10)_Other_Costs58"/>
      <sheetName val="LOCAL_RATES8"/>
      <sheetName val="13__Steel_-_Ratio7"/>
      <sheetName val="P_I(BOU)7"/>
      <sheetName val="P_I(DIA)7"/>
      <sheetName val="FRA_DJB_O&amp;M24_12_027"/>
      <sheetName val="LCS_SCHEDULE_7"/>
      <sheetName val="pr_cal8"/>
      <sheetName val="Civil_Boq7"/>
      <sheetName val="P+M__-Reverse_Drum7"/>
      <sheetName val="Pile_cap5"/>
      <sheetName val="PIpe_Pushing1"/>
      <sheetName val="Input_FRC_(2)9"/>
      <sheetName val="Project_Description9"/>
      <sheetName val="Project_Information9"/>
      <sheetName val="VA_TECH-Risk_Analysis-O&amp;M9"/>
      <sheetName val="Supplement_to_RA-O&amp;M9"/>
      <sheetName val="Legal_Risk_Analysis9"/>
      <sheetName val="Minimum_Requirements9"/>
      <sheetName val="Input_9"/>
      <sheetName val="7_Other_Costs9"/>
      <sheetName val="(10)_Other_Costs59"/>
      <sheetName val="LOCAL_RATES9"/>
      <sheetName val="13__Steel_-_Ratio8"/>
      <sheetName val="P_I(BOU)8"/>
      <sheetName val="P_I(DIA)8"/>
      <sheetName val="FRA_DJB_O&amp;M24_12_028"/>
      <sheetName val="LCS_SCHEDULE_8"/>
      <sheetName val="pr_cal9"/>
      <sheetName val="Civil_Boq8"/>
      <sheetName val="P+M__-Reverse_Drum8"/>
      <sheetName val="Pile_cap6"/>
      <sheetName val="PIpe_Pushing2"/>
      <sheetName val="Input_FRC_(2)11"/>
      <sheetName val="Project_Description11"/>
      <sheetName val="Project_Information11"/>
      <sheetName val="VA_TECH-Risk_Analysis-O&amp;M11"/>
      <sheetName val="Supplement_to_RA-O&amp;M11"/>
      <sheetName val="Legal_Risk_Analysis11"/>
      <sheetName val="Minimum_Requirements11"/>
      <sheetName val="Input_11"/>
      <sheetName val="7_Other_Costs11"/>
      <sheetName val="(10)_Other_Costs511"/>
      <sheetName val="LOCAL_RATES11"/>
      <sheetName val="13__Steel_-_Ratio10"/>
      <sheetName val="Civil_Boq10"/>
      <sheetName val="P+M__-Reverse_Drum10"/>
      <sheetName val="P_I(BOU)10"/>
      <sheetName val="P_I(DIA)10"/>
      <sheetName val="FRA_DJB_O&amp;M24_12_0210"/>
      <sheetName val="LCS_SCHEDULE_10"/>
      <sheetName val="pr_cal11"/>
      <sheetName val="Pile_cap8"/>
      <sheetName val="PIpe_Pushing4"/>
      <sheetName val="Input_FRC_(2)10"/>
      <sheetName val="Project_Description10"/>
      <sheetName val="Project_Information10"/>
      <sheetName val="VA_TECH-Risk_Analysis-O&amp;M10"/>
      <sheetName val="Supplement_to_RA-O&amp;M10"/>
      <sheetName val="Legal_Risk_Analysis10"/>
      <sheetName val="Minimum_Requirements10"/>
      <sheetName val="Input_10"/>
      <sheetName val="7_Other_Costs10"/>
      <sheetName val="(10)_Other_Costs510"/>
      <sheetName val="LOCAL_RATES10"/>
      <sheetName val="13__Steel_-_Ratio9"/>
      <sheetName val="Civil_Boq9"/>
      <sheetName val="P+M__-Reverse_Drum9"/>
      <sheetName val="P_I(BOU)9"/>
      <sheetName val="P_I(DIA)9"/>
      <sheetName val="FRA_DJB_O&amp;M24_12_029"/>
      <sheetName val="LCS_SCHEDULE_9"/>
      <sheetName val="pr_cal10"/>
      <sheetName val="Pile_cap7"/>
      <sheetName val="PIpe_Pushing3"/>
      <sheetName val="Manpower"/>
      <sheetName val="Motor Data"/>
      <sheetName val="Lucas3"/>
      <sheetName val="HT-INTROD"/>
      <sheetName val="RA-markate"/>
      <sheetName val="?OLUMN"/>
      <sheetName val="_x005f_x0000_OLUMN"/>
      <sheetName val="_x005f_x005f_x005f_x0000_OLUMN"/>
      <sheetName val="_x005f_x005f_x005f_x005f_x005f_x005f_x005f_x0000_OLUMN"/>
      <sheetName val="_x0000_OLUMN"/>
      <sheetName val="11 KV VEND"/>
      <sheetName val="DOC-Register"/>
      <sheetName val="Technical Statement"/>
      <sheetName val="dummy"/>
      <sheetName val="Sluice V C DI Pipe- Short B (2)"/>
      <sheetName val="Purlin(7m)"/>
      <sheetName val="Design"/>
      <sheetName val="Labor abs-NMR"/>
      <sheetName val="ssr-rates"/>
      <sheetName val="Basis"/>
      <sheetName val="bASICDATA"/>
      <sheetName val="TABLES"/>
      <sheetName val="F.I(BYPASS)"/>
      <sheetName val="L.I(TUBU)"/>
      <sheetName val="ABUT MASTER"/>
      <sheetName val="MixBed"/>
      <sheetName val="Sluice V C DI Pipe- Short B"/>
      <sheetName val="Kandouli Crossings"/>
      <sheetName val="Plant &amp;  Machinery"/>
      <sheetName val="0+655"/>
      <sheetName val="est"/>
      <sheetName val="Machinary"/>
      <sheetName val="Leg 1-1"/>
      <sheetName val="Debt"/>
      <sheetName val="Financing"/>
      <sheetName val="IRR"/>
      <sheetName val="Financial Statements"/>
      <sheetName val="General Assumptions"/>
      <sheetName val="Calendar"/>
      <sheetName val="H2.2"/>
      <sheetName val="Options &amp; Macros"/>
      <sheetName val="F1"/>
      <sheetName val="A131neu ,CSB (S CSB=400)"/>
      <sheetName val="Cascade Aerator"/>
      <sheetName val="Part A General"/>
      <sheetName val="WORKING"/>
      <sheetName val="final abstract"/>
      <sheetName val="Mahendra hills"/>
      <sheetName val="DATE-WISE BGs VALID-204201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tabSelected="1" view="pageBreakPreview" topLeftCell="K1" zoomScale="70" zoomScaleNormal="115" zoomScaleSheetLayoutView="70" workbookViewId="0">
      <selection activeCell="S27" sqref="S27"/>
    </sheetView>
  </sheetViews>
  <sheetFormatPr defaultRowHeight="15" x14ac:dyDescent="0.25"/>
  <cols>
    <col min="2" max="2" width="14.42578125" customWidth="1"/>
    <col min="4" max="4" width="12.28515625" customWidth="1"/>
    <col min="5" max="5" width="11.7109375" customWidth="1"/>
    <col min="7" max="7" width="12.85546875" customWidth="1"/>
    <col min="8" max="8" width="10.140625" customWidth="1"/>
    <col min="10" max="10" width="9.5703125" customWidth="1"/>
    <col min="11" max="11" width="12" customWidth="1"/>
    <col min="12" max="12" width="13.28515625" customWidth="1"/>
    <col min="13" max="13" width="9.85546875" customWidth="1"/>
    <col min="14" max="14" width="5.7109375" customWidth="1"/>
    <col min="15" max="15" width="21" customWidth="1"/>
    <col min="16" max="16" width="18.5703125" customWidth="1"/>
    <col min="17" max="17" width="12.140625" customWidth="1"/>
    <col min="18" max="18" width="15.140625" customWidth="1"/>
    <col min="19" max="19" width="11.42578125" customWidth="1"/>
    <col min="20" max="20" width="10.5703125" customWidth="1"/>
    <col min="21" max="21" width="10.140625" customWidth="1"/>
    <col min="22" max="22" width="9.7109375" customWidth="1"/>
    <col min="26" max="26" width="12.140625" customWidth="1"/>
    <col min="27" max="27" width="17.85546875" customWidth="1"/>
    <col min="28" max="28" width="9.28515625" customWidth="1"/>
  </cols>
  <sheetData>
    <row r="1" spans="1:3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30" x14ac:dyDescent="0.25">
      <c r="A2" s="4" t="str">
        <f>"LOOP NAME: "&amp;R8</f>
        <v xml:space="preserve">LOOP NAME: 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0" x14ac:dyDescent="0.25">
      <c r="A3" s="4" t="str">
        <f>"IO TYPE: "&amp;S8</f>
        <v xml:space="preserve">IO TYPE: </v>
      </c>
      <c r="B3" s="1"/>
      <c r="C3" s="1"/>
      <c r="D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0" ht="15.75" thickBot="1" x14ac:dyDescent="0.3">
      <c r="A4" s="6"/>
      <c r="B4" s="1"/>
      <c r="C4" s="1"/>
      <c r="D4" s="1"/>
      <c r="E4" s="1" t="s">
        <v>0</v>
      </c>
      <c r="F4" s="1"/>
      <c r="G4" s="1"/>
      <c r="H4" s="1"/>
      <c r="I4" s="1"/>
      <c r="J4" s="1"/>
      <c r="K4" s="1"/>
      <c r="L4" s="1"/>
      <c r="M4" s="1" t="s">
        <v>1</v>
      </c>
      <c r="N4" s="1"/>
      <c r="O4" s="1"/>
      <c r="P4" s="1"/>
    </row>
    <row r="5" spans="1:30" x14ac:dyDescent="0.25">
      <c r="A5" s="7"/>
      <c r="B5" s="8" t="s">
        <v>4</v>
      </c>
      <c r="C5" s="2"/>
      <c r="D5" s="2"/>
      <c r="E5" s="2"/>
      <c r="F5" s="2"/>
      <c r="G5" s="8" t="s">
        <v>5</v>
      </c>
      <c r="H5" s="2"/>
      <c r="I5" s="2"/>
      <c r="J5" s="2"/>
      <c r="K5" s="2"/>
      <c r="L5" s="2"/>
      <c r="M5" s="8" t="s">
        <v>3</v>
      </c>
      <c r="N5" s="2"/>
      <c r="O5" s="3"/>
    </row>
    <row r="6" spans="1:30" ht="15.75" thickBot="1" x14ac:dyDescent="0.3">
      <c r="A6" s="9"/>
      <c r="B6" s="10"/>
      <c r="C6" s="11"/>
      <c r="D6" s="11"/>
      <c r="E6" s="11"/>
      <c r="F6" s="11"/>
      <c r="G6" s="10"/>
      <c r="H6" s="11"/>
      <c r="I6" s="11"/>
      <c r="J6" s="11"/>
      <c r="K6" s="11"/>
      <c r="L6" s="11"/>
      <c r="M6" s="131">
        <f>Z8</f>
        <v>0</v>
      </c>
      <c r="N6" s="131"/>
      <c r="O6" s="12"/>
    </row>
    <row r="7" spans="1:30" ht="30.75" thickBot="1" x14ac:dyDescent="0.3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60" t="s">
        <v>137</v>
      </c>
      <c r="R7" s="60" t="s">
        <v>56</v>
      </c>
      <c r="S7" s="60" t="s">
        <v>57</v>
      </c>
      <c r="T7" s="60" t="s">
        <v>44</v>
      </c>
      <c r="U7" s="60" t="s">
        <v>47</v>
      </c>
      <c r="V7" s="60" t="s">
        <v>48</v>
      </c>
      <c r="W7" s="60" t="s">
        <v>49</v>
      </c>
      <c r="X7" s="60" t="s">
        <v>45</v>
      </c>
      <c r="Y7" s="60" t="s">
        <v>46</v>
      </c>
      <c r="Z7" s="60" t="s">
        <v>138</v>
      </c>
      <c r="AA7" s="60" t="s">
        <v>139</v>
      </c>
      <c r="AB7" s="60" t="s">
        <v>141</v>
      </c>
      <c r="AC7" s="60" t="s">
        <v>50</v>
      </c>
      <c r="AD7" s="60" t="s">
        <v>140</v>
      </c>
    </row>
    <row r="8" spans="1:30" ht="15.75" thickBot="1" x14ac:dyDescent="0.3">
      <c r="A8" s="6" t="s">
        <v>9</v>
      </c>
      <c r="B8" s="48">
        <f>Q8</f>
        <v>0</v>
      </c>
      <c r="C8" s="57"/>
      <c r="D8" s="132" t="str">
        <f>B8&amp;"/"&amp;G8</f>
        <v>0/0</v>
      </c>
      <c r="E8" s="132"/>
      <c r="F8" s="14"/>
      <c r="G8" s="58">
        <f>T8</f>
        <v>0</v>
      </c>
      <c r="I8" s="1"/>
      <c r="J8" s="132" t="str">
        <f>G8&amp;"/"&amp;M6&amp;"-"&amp;M8</f>
        <v>0/0-0</v>
      </c>
      <c r="K8" s="132"/>
      <c r="L8" s="132"/>
      <c r="M8" s="131">
        <f>AA8</f>
        <v>0</v>
      </c>
      <c r="N8" s="131"/>
      <c r="O8" s="1"/>
      <c r="P8" s="1"/>
      <c r="Q8" s="60"/>
      <c r="R8" s="60"/>
      <c r="S8" s="60"/>
      <c r="T8" s="60"/>
      <c r="U8" s="60"/>
      <c r="V8" s="60">
        <f>U8+1</f>
        <v>1</v>
      </c>
      <c r="W8" s="60">
        <f>V8+1</f>
        <v>2</v>
      </c>
      <c r="X8" s="60"/>
      <c r="Y8" s="60">
        <f>X8+1</f>
        <v>1</v>
      </c>
      <c r="Z8" s="60"/>
      <c r="AA8" s="60"/>
      <c r="AB8" s="60"/>
      <c r="AC8" s="60"/>
      <c r="AD8" s="60"/>
    </row>
    <row r="9" spans="1:30" ht="15.75" thickBot="1" x14ac:dyDescent="0.3">
      <c r="A9" s="6"/>
      <c r="B9" s="15" t="s">
        <v>10</v>
      </c>
      <c r="C9" s="57" t="s">
        <v>54</v>
      </c>
      <c r="D9" s="1"/>
      <c r="E9" s="1"/>
      <c r="F9" s="59" t="s">
        <v>54</v>
      </c>
      <c r="G9" s="16">
        <f>U8</f>
        <v>0</v>
      </c>
      <c r="H9" s="56" t="str">
        <f>"[BK] Pr"&amp;X8</f>
        <v>[BK] Pr</v>
      </c>
      <c r="I9" s="1"/>
      <c r="J9" s="1"/>
      <c r="K9" s="1"/>
      <c r="L9" s="1"/>
      <c r="M9" s="133"/>
      <c r="N9" s="134"/>
      <c r="O9" s="1"/>
      <c r="P9" s="1"/>
    </row>
    <row r="10" spans="1:30" ht="15.75" thickBot="1" x14ac:dyDescent="0.3">
      <c r="A10" s="6"/>
      <c r="B10" s="15" t="s">
        <v>12</v>
      </c>
      <c r="C10" s="57" t="s">
        <v>55</v>
      </c>
      <c r="D10" s="1"/>
      <c r="E10" s="1"/>
      <c r="F10" s="59" t="s">
        <v>55</v>
      </c>
      <c r="G10" s="16">
        <f>V8</f>
        <v>1</v>
      </c>
      <c r="H10" s="56" t="str">
        <f>"[WH] Pr"&amp;Y9</f>
        <v>[WH] Pr</v>
      </c>
      <c r="I10" s="1"/>
      <c r="J10" s="1"/>
      <c r="K10" s="1"/>
      <c r="L10" s="1"/>
      <c r="M10" s="52" t="s">
        <v>142</v>
      </c>
      <c r="N10" s="53">
        <f>AB8</f>
        <v>0</v>
      </c>
      <c r="O10" s="1"/>
      <c r="P10" s="1"/>
    </row>
    <row r="11" spans="1:30" ht="15.75" thickBot="1" x14ac:dyDescent="0.3">
      <c r="A11" s="6"/>
      <c r="B11" s="21"/>
      <c r="C11" s="1"/>
      <c r="D11" s="1"/>
      <c r="E11" s="1"/>
      <c r="F11" s="1"/>
      <c r="G11" s="16">
        <f>W8</f>
        <v>2</v>
      </c>
      <c r="H11" s="57" t="s">
        <v>53</v>
      </c>
      <c r="I11" s="1"/>
      <c r="J11" s="1"/>
      <c r="K11" s="1"/>
      <c r="L11" s="1"/>
      <c r="M11" s="52" t="s">
        <v>43</v>
      </c>
      <c r="N11" s="53">
        <f>AC8</f>
        <v>0</v>
      </c>
      <c r="O11" s="1"/>
      <c r="P11" s="1"/>
    </row>
    <row r="12" spans="1:30" ht="15.75" thickBot="1" x14ac:dyDescent="0.3">
      <c r="A12" s="6"/>
      <c r="B12" s="22"/>
      <c r="C12" s="1"/>
      <c r="D12" s="1"/>
      <c r="E12" s="1"/>
      <c r="F12" s="1"/>
      <c r="G12" s="2"/>
      <c r="H12" s="1"/>
      <c r="I12" s="1"/>
      <c r="J12" s="1"/>
      <c r="L12" s="1"/>
      <c r="M12" s="54" t="s">
        <v>42</v>
      </c>
      <c r="N12" s="55">
        <f>AD8</f>
        <v>0</v>
      </c>
      <c r="O12" s="1"/>
      <c r="P12" s="1"/>
    </row>
    <row r="13" spans="1:30" ht="15.75" thickBot="1" x14ac:dyDescent="0.3">
      <c r="A13" s="6"/>
      <c r="B13" s="22"/>
      <c r="C13" s="1"/>
      <c r="D13" s="1"/>
      <c r="E13" s="1"/>
      <c r="F13" s="1"/>
      <c r="G13" s="23" t="s">
        <v>13</v>
      </c>
      <c r="H13" s="1"/>
      <c r="I13" s="1"/>
      <c r="J13" s="1"/>
      <c r="L13" s="1"/>
      <c r="M13" s="135"/>
      <c r="N13" s="135"/>
      <c r="O13" s="1"/>
      <c r="P13" s="1"/>
    </row>
    <row r="14" spans="1:30" x14ac:dyDescent="0.2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5"/>
    </row>
    <row r="15" spans="1:30" x14ac:dyDescent="0.2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5"/>
    </row>
    <row r="16" spans="1:30" x14ac:dyDescent="0.2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thickBot="1" x14ac:dyDescent="0.3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25" t="s">
        <v>14</v>
      </c>
      <c r="B32" s="26"/>
      <c r="C32" s="26"/>
      <c r="D32" s="26"/>
      <c r="E32" s="26"/>
      <c r="F32" s="26"/>
      <c r="G32" s="27"/>
      <c r="H32" s="27"/>
      <c r="I32" s="27"/>
      <c r="J32" s="49"/>
      <c r="K32" s="136" t="s">
        <v>40</v>
      </c>
      <c r="L32" s="136"/>
      <c r="M32" s="137"/>
      <c r="N32" s="30" t="s">
        <v>15</v>
      </c>
      <c r="O32" s="31" t="s">
        <v>16</v>
      </c>
    </row>
    <row r="33" spans="1:15" x14ac:dyDescent="0.25">
      <c r="A33" s="32"/>
      <c r="B33" s="33"/>
      <c r="C33" s="33"/>
      <c r="D33" s="33"/>
      <c r="E33" s="33"/>
      <c r="F33" s="33"/>
      <c r="G33" s="34"/>
      <c r="H33" s="34"/>
      <c r="I33" s="34"/>
      <c r="J33" s="50"/>
      <c r="K33" s="138"/>
      <c r="L33" s="138"/>
      <c r="M33" s="139"/>
      <c r="N33" s="142" t="s">
        <v>41</v>
      </c>
      <c r="O33" s="145">
        <f ca="1">_xlfn.SHEET()</f>
        <v>1</v>
      </c>
    </row>
    <row r="34" spans="1:15" x14ac:dyDescent="0.25">
      <c r="A34" s="32"/>
      <c r="B34" s="33"/>
      <c r="C34" s="33"/>
      <c r="D34" s="33"/>
      <c r="E34" s="33"/>
      <c r="F34" s="33"/>
      <c r="G34" s="34"/>
      <c r="H34" s="34"/>
      <c r="I34" s="34"/>
      <c r="J34" s="50"/>
      <c r="K34" s="138"/>
      <c r="L34" s="138"/>
      <c r="M34" s="139"/>
      <c r="N34" s="143"/>
      <c r="O34" s="146"/>
    </row>
    <row r="35" spans="1:15" x14ac:dyDescent="0.25">
      <c r="A35" s="32"/>
      <c r="B35" s="33"/>
      <c r="C35" s="33"/>
      <c r="D35" s="33"/>
      <c r="E35" s="33"/>
      <c r="F35" s="33"/>
      <c r="G35" s="34"/>
      <c r="H35" s="34"/>
      <c r="I35" s="34"/>
      <c r="J35" s="50"/>
      <c r="K35" s="138"/>
      <c r="L35" s="138"/>
      <c r="M35" s="139"/>
      <c r="N35" s="143"/>
      <c r="O35" s="146"/>
    </row>
    <row r="36" spans="1:15" ht="15.75" thickBot="1" x14ac:dyDescent="0.3">
      <c r="A36" s="37"/>
      <c r="B36" s="38"/>
      <c r="C36" s="38"/>
      <c r="D36" s="38"/>
      <c r="E36" s="38"/>
      <c r="F36" s="38"/>
      <c r="G36" s="39"/>
      <c r="H36" s="39"/>
      <c r="I36" s="39"/>
      <c r="J36" s="51"/>
      <c r="K36" s="140"/>
      <c r="L36" s="140"/>
      <c r="M36" s="141"/>
      <c r="N36" s="144"/>
      <c r="O36" s="147"/>
    </row>
  </sheetData>
  <mergeCells count="9">
    <mergeCell ref="K32:M36"/>
    <mergeCell ref="N33:N36"/>
    <mergeCell ref="O33:O36"/>
    <mergeCell ref="M6:N6"/>
    <mergeCell ref="D8:E8"/>
    <mergeCell ref="J8:L8"/>
    <mergeCell ref="M9:N9"/>
    <mergeCell ref="M13:N13"/>
    <mergeCell ref="M8:N8"/>
  </mergeCells>
  <pageMargins left="0.7" right="0.7" top="0.75" bottom="0.75" header="0.3" footer="0.3"/>
  <pageSetup paperSize="9" scale="38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view="pageBreakPreview" zoomScale="70" zoomScaleNormal="115" zoomScaleSheetLayoutView="70" workbookViewId="0">
      <selection activeCell="O32" sqref="O32:T36"/>
    </sheetView>
  </sheetViews>
  <sheetFormatPr defaultRowHeight="15" x14ac:dyDescent="0.25"/>
  <cols>
    <col min="2" max="2" width="14" customWidth="1"/>
    <col min="7" max="7" width="13.42578125" customWidth="1"/>
    <col min="10" max="10" width="9.5703125" customWidth="1"/>
    <col min="12" max="12" width="9.7109375" customWidth="1"/>
    <col min="14" max="14" width="14.85546875" customWidth="1"/>
    <col min="15" max="15" width="13.28515625" customWidth="1"/>
    <col min="18" max="18" width="14.5703125" customWidth="1"/>
    <col min="19" max="19" width="18.5703125" customWidth="1"/>
  </cols>
  <sheetData>
    <row r="1" spans="1:2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25">
      <c r="A2" s="4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5"/>
    </row>
    <row r="3" spans="1:20" x14ac:dyDescent="0.25">
      <c r="A3" s="6"/>
      <c r="B3" s="1"/>
      <c r="C3" s="1"/>
      <c r="D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5"/>
    </row>
    <row r="4" spans="1:20" ht="15.75" thickBot="1" x14ac:dyDescent="0.3">
      <c r="A4" s="6"/>
      <c r="B4" s="1"/>
      <c r="C4" s="1"/>
      <c r="D4" s="1"/>
      <c r="E4" s="1" t="s">
        <v>0</v>
      </c>
      <c r="F4" s="1"/>
      <c r="G4" s="1"/>
      <c r="H4" s="1"/>
      <c r="I4" s="1"/>
      <c r="J4" s="1"/>
      <c r="K4" s="1"/>
      <c r="L4" s="1"/>
      <c r="M4" s="1"/>
      <c r="N4" s="1" t="s">
        <v>1</v>
      </c>
      <c r="O4" s="1"/>
      <c r="P4" s="1"/>
      <c r="Q4" s="1"/>
      <c r="R4" s="1"/>
      <c r="S4" s="1"/>
      <c r="T4" s="5"/>
    </row>
    <row r="5" spans="1:20" x14ac:dyDescent="0.2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2</v>
      </c>
      <c r="O5" s="2"/>
      <c r="P5" s="2"/>
      <c r="Q5" s="2"/>
      <c r="R5" s="2"/>
      <c r="S5" s="8" t="s">
        <v>3</v>
      </c>
      <c r="T5" s="3"/>
    </row>
    <row r="6" spans="1:20" ht="15.75" thickBot="1" x14ac:dyDescent="0.3">
      <c r="A6" s="9"/>
      <c r="B6" s="10" t="s">
        <v>4</v>
      </c>
      <c r="C6" s="11"/>
      <c r="D6" s="11"/>
      <c r="E6" s="11"/>
      <c r="F6" s="11"/>
      <c r="G6" s="10" t="s">
        <v>5</v>
      </c>
      <c r="H6" s="11"/>
      <c r="I6" s="11"/>
      <c r="J6" s="11"/>
      <c r="K6" s="11"/>
      <c r="L6" s="11"/>
      <c r="M6" s="11"/>
      <c r="N6" s="11" t="s">
        <v>6</v>
      </c>
      <c r="O6" s="11"/>
      <c r="P6" s="11"/>
      <c r="Q6" s="11"/>
      <c r="R6" s="11"/>
      <c r="S6" s="11" t="s">
        <v>7</v>
      </c>
      <c r="T6" s="12"/>
    </row>
    <row r="7" spans="1:20" x14ac:dyDescent="0.25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5"/>
    </row>
    <row r="8" spans="1:20" x14ac:dyDescent="0.25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5"/>
    </row>
    <row r="9" spans="1:20" x14ac:dyDescent="0.25">
      <c r="A9" s="6"/>
      <c r="G9" s="45"/>
      <c r="O9" s="1"/>
      <c r="P9" s="1"/>
      <c r="Q9" s="1"/>
      <c r="R9" s="1"/>
      <c r="S9" s="1"/>
      <c r="T9" s="5"/>
    </row>
    <row r="10" spans="1:20" x14ac:dyDescent="0.25">
      <c r="A10" s="6"/>
      <c r="B10" s="13" t="s">
        <v>24</v>
      </c>
      <c r="C10" s="1"/>
      <c r="D10" s="1"/>
      <c r="E10" s="1"/>
      <c r="F10" s="1"/>
      <c r="G10" s="44"/>
      <c r="H10" s="1"/>
      <c r="I10" s="1"/>
      <c r="J10" s="1"/>
      <c r="K10" s="1"/>
      <c r="L10" s="1"/>
      <c r="M10" s="1"/>
      <c r="N10" s="1"/>
      <c r="O10" s="1" t="s">
        <v>8</v>
      </c>
      <c r="P10" s="1"/>
      <c r="Q10" s="1"/>
      <c r="R10" s="1"/>
      <c r="S10" s="1"/>
      <c r="T10" s="5"/>
    </row>
    <row r="11" spans="1:20" ht="15.75" thickBot="1" x14ac:dyDescent="0.3">
      <c r="A11" s="6" t="s">
        <v>9</v>
      </c>
      <c r="B11" s="13" t="s">
        <v>25</v>
      </c>
      <c r="C11" s="1"/>
      <c r="D11" s="1"/>
      <c r="E11" s="1"/>
      <c r="F11" s="14"/>
      <c r="G11" s="46" t="s">
        <v>18</v>
      </c>
      <c r="H11" s="1"/>
      <c r="I11" s="1"/>
      <c r="J11" s="1"/>
      <c r="K11" s="1"/>
      <c r="L11" s="1"/>
      <c r="M11" s="1" t="s">
        <v>19</v>
      </c>
      <c r="N11" s="1"/>
      <c r="O11" s="1" t="s">
        <v>20</v>
      </c>
      <c r="P11" s="1"/>
      <c r="Q11" s="1"/>
      <c r="R11" s="1"/>
      <c r="S11" s="1" t="s">
        <v>21</v>
      </c>
      <c r="T11" s="5"/>
    </row>
    <row r="12" spans="1:20" ht="15.75" thickBot="1" x14ac:dyDescent="0.3">
      <c r="A12" s="6"/>
      <c r="B12" s="15" t="s">
        <v>10</v>
      </c>
      <c r="C12" s="1"/>
      <c r="D12" s="1"/>
      <c r="E12" s="1"/>
      <c r="F12" s="1"/>
      <c r="G12" s="16">
        <v>34</v>
      </c>
      <c r="H12" s="1"/>
      <c r="I12" s="1"/>
      <c r="J12" s="1"/>
      <c r="K12" s="1"/>
      <c r="L12" s="1"/>
      <c r="M12" s="17">
        <v>11</v>
      </c>
      <c r="N12" s="1"/>
      <c r="O12" s="18" t="s">
        <v>11</v>
      </c>
      <c r="P12" s="1"/>
      <c r="Q12" s="1"/>
      <c r="R12" s="1"/>
      <c r="S12" s="18" t="s">
        <v>26</v>
      </c>
      <c r="T12" s="5"/>
    </row>
    <row r="13" spans="1:20" ht="15.75" thickBot="1" x14ac:dyDescent="0.3">
      <c r="A13" s="6"/>
      <c r="B13" s="15" t="s">
        <v>12</v>
      </c>
      <c r="C13" s="1"/>
      <c r="D13" s="1"/>
      <c r="E13" s="1"/>
      <c r="F13" s="1"/>
      <c r="G13" s="16">
        <f>G12+1</f>
        <v>35</v>
      </c>
      <c r="H13" s="1"/>
      <c r="I13" s="1"/>
      <c r="J13" s="1"/>
      <c r="K13" s="1"/>
      <c r="L13" s="1"/>
      <c r="M13" s="17">
        <f>M12+1</f>
        <v>12</v>
      </c>
      <c r="N13" s="1"/>
      <c r="O13" s="19"/>
      <c r="P13" s="1"/>
      <c r="Q13" s="1"/>
      <c r="R13" s="1"/>
      <c r="S13" s="20" t="s">
        <v>22</v>
      </c>
      <c r="T13" s="5"/>
    </row>
    <row r="14" spans="1:20" ht="15.75" thickBot="1" x14ac:dyDescent="0.3">
      <c r="A14" s="6"/>
      <c r="B14" s="21"/>
      <c r="C14" s="1"/>
      <c r="D14" s="1"/>
      <c r="E14" s="1"/>
      <c r="F14" s="1"/>
      <c r="G14" s="16">
        <f>G13+1</f>
        <v>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20" t="s">
        <v>23</v>
      </c>
      <c r="T14" s="5"/>
    </row>
    <row r="15" spans="1:20" ht="15.75" thickBot="1" x14ac:dyDescent="0.3">
      <c r="A15" s="6"/>
      <c r="B15" s="22"/>
      <c r="C15" s="1"/>
      <c r="D15" s="1"/>
      <c r="E15" s="1"/>
      <c r="F15" s="1"/>
      <c r="G15" s="42"/>
      <c r="H15" s="1"/>
      <c r="I15" s="1"/>
      <c r="J15" s="1"/>
      <c r="L15" s="1"/>
      <c r="M15" s="1"/>
      <c r="N15" s="1"/>
      <c r="O15" s="1"/>
      <c r="P15" s="1"/>
      <c r="Q15" s="1"/>
      <c r="R15" s="1"/>
      <c r="S15" s="20"/>
      <c r="T15" s="5"/>
    </row>
    <row r="16" spans="1:20" ht="15.75" thickBot="1" x14ac:dyDescent="0.3">
      <c r="A16" s="6"/>
      <c r="B16" s="22"/>
      <c r="C16" s="1"/>
      <c r="D16" s="1"/>
      <c r="E16" s="1"/>
      <c r="F16" s="1"/>
      <c r="G16" s="43" t="s">
        <v>13</v>
      </c>
      <c r="H16" s="1"/>
      <c r="I16" s="1"/>
      <c r="J16" s="1"/>
      <c r="L16" s="1"/>
      <c r="M16" s="1"/>
      <c r="N16" s="1"/>
      <c r="O16" s="1"/>
      <c r="P16" s="1"/>
      <c r="Q16" s="1"/>
      <c r="R16" s="1"/>
      <c r="S16" s="19"/>
      <c r="T16" s="5"/>
    </row>
    <row r="17" spans="1:20" x14ac:dyDescent="0.25">
      <c r="A17" s="6"/>
      <c r="B17" s="1"/>
      <c r="C17" s="1"/>
      <c r="D17" s="1"/>
      <c r="E17" s="1"/>
      <c r="F17" s="1"/>
      <c r="G17" s="4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5"/>
    </row>
    <row r="18" spans="1:20" x14ac:dyDescent="0.25">
      <c r="A18" s="6"/>
      <c r="G18" s="45"/>
      <c r="O18" s="1"/>
      <c r="P18" s="1"/>
      <c r="Q18" s="1"/>
      <c r="R18" s="1"/>
      <c r="S18" s="1"/>
      <c r="T18" s="5"/>
    </row>
    <row r="19" spans="1:20" x14ac:dyDescent="0.25">
      <c r="A19" s="6"/>
      <c r="G19" s="45"/>
      <c r="O19" s="1"/>
      <c r="P19" s="1"/>
      <c r="Q19" s="1"/>
      <c r="R19" s="1"/>
      <c r="S19" s="1"/>
      <c r="T19" s="5"/>
    </row>
    <row r="20" spans="1:20" x14ac:dyDescent="0.25">
      <c r="A20" s="6"/>
      <c r="G20" s="45"/>
      <c r="O20" s="1"/>
      <c r="P20" s="1"/>
      <c r="Q20" s="1"/>
      <c r="R20" s="1"/>
      <c r="S20" s="1"/>
      <c r="T20" s="5"/>
    </row>
    <row r="21" spans="1:20" x14ac:dyDescent="0.25">
      <c r="A21" s="6"/>
      <c r="B21" s="1"/>
      <c r="C21" s="1"/>
      <c r="D21" s="1"/>
      <c r="E21" s="1"/>
      <c r="F21" s="1"/>
      <c r="G21" s="44"/>
      <c r="H21" s="1"/>
      <c r="I21" s="1"/>
      <c r="J21" s="1"/>
      <c r="K21" s="1"/>
      <c r="L21" s="1"/>
      <c r="M21" s="1"/>
      <c r="N21" s="1"/>
      <c r="O21" s="1" t="s">
        <v>27</v>
      </c>
      <c r="P21" s="1"/>
      <c r="Q21" s="1"/>
      <c r="R21" s="1"/>
      <c r="S21" s="1"/>
      <c r="T21" s="5"/>
    </row>
    <row r="22" spans="1:20" ht="15.75" thickBot="1" x14ac:dyDescent="0.3">
      <c r="A22" s="6" t="s">
        <v>9</v>
      </c>
      <c r="B22" s="13" t="s">
        <v>28</v>
      </c>
      <c r="C22" s="1"/>
      <c r="D22" s="1"/>
      <c r="E22" s="1"/>
      <c r="F22" s="14"/>
      <c r="G22" s="46" t="s">
        <v>18</v>
      </c>
      <c r="H22" s="1"/>
      <c r="I22" s="1"/>
      <c r="J22" s="1"/>
      <c r="K22" s="1"/>
      <c r="L22" s="1"/>
      <c r="M22" s="1" t="s">
        <v>29</v>
      </c>
      <c r="N22" s="1"/>
      <c r="O22" s="1" t="s">
        <v>30</v>
      </c>
      <c r="P22" s="1"/>
      <c r="Q22" s="1"/>
      <c r="R22" s="1"/>
      <c r="S22" s="1" t="s">
        <v>31</v>
      </c>
      <c r="T22" s="5"/>
    </row>
    <row r="23" spans="1:20" ht="15.75" thickBot="1" x14ac:dyDescent="0.3">
      <c r="A23" s="6"/>
      <c r="B23" s="15" t="s">
        <v>10</v>
      </c>
      <c r="C23" s="1"/>
      <c r="D23" s="1"/>
      <c r="E23" s="1"/>
      <c r="F23" s="1"/>
      <c r="G23" s="16">
        <v>31</v>
      </c>
      <c r="H23" s="1"/>
      <c r="I23" s="1"/>
      <c r="J23" s="1"/>
      <c r="K23" s="1"/>
      <c r="L23" s="1"/>
      <c r="M23" s="17">
        <v>11</v>
      </c>
      <c r="N23" s="1"/>
      <c r="O23" s="18" t="s">
        <v>11</v>
      </c>
      <c r="P23" s="1"/>
      <c r="Q23" s="1"/>
      <c r="R23" s="1"/>
      <c r="S23" s="18" t="s">
        <v>26</v>
      </c>
      <c r="T23" s="5"/>
    </row>
    <row r="24" spans="1:20" ht="15.75" thickBot="1" x14ac:dyDescent="0.3">
      <c r="A24" s="6"/>
      <c r="B24" s="15" t="s">
        <v>12</v>
      </c>
      <c r="C24" s="1"/>
      <c r="D24" s="1"/>
      <c r="E24" s="1"/>
      <c r="F24" s="1"/>
      <c r="G24" s="16">
        <f>G23+1</f>
        <v>32</v>
      </c>
      <c r="H24" s="1"/>
      <c r="I24" s="1"/>
      <c r="J24" s="1"/>
      <c r="K24" s="1"/>
      <c r="L24" s="1"/>
      <c r="M24" s="17">
        <f>M23+1</f>
        <v>12</v>
      </c>
      <c r="N24" s="1"/>
      <c r="O24" s="19"/>
      <c r="P24" s="1"/>
      <c r="Q24" s="1"/>
      <c r="R24" s="1"/>
      <c r="S24" s="20" t="s">
        <v>32</v>
      </c>
      <c r="T24" s="5"/>
    </row>
    <row r="25" spans="1:20" ht="15.75" thickBot="1" x14ac:dyDescent="0.3">
      <c r="A25" s="6"/>
      <c r="B25" s="21"/>
      <c r="C25" s="1"/>
      <c r="D25" s="1"/>
      <c r="E25" s="1"/>
      <c r="F25" s="1"/>
      <c r="G25" s="16">
        <f>G24+1</f>
        <v>33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20" t="s">
        <v>23</v>
      </c>
      <c r="T25" s="5"/>
    </row>
    <row r="26" spans="1:20" ht="15.75" thickBot="1" x14ac:dyDescent="0.3">
      <c r="A26" s="6"/>
      <c r="B26" s="22"/>
      <c r="C26" s="1"/>
      <c r="D26" s="1"/>
      <c r="E26" s="1"/>
      <c r="F26" s="1"/>
      <c r="G26" s="2"/>
      <c r="H26" s="1"/>
      <c r="I26" s="1"/>
      <c r="J26" s="1"/>
      <c r="L26" s="1"/>
      <c r="M26" s="1"/>
      <c r="N26" s="1"/>
      <c r="O26" s="1"/>
      <c r="P26" s="1"/>
      <c r="Q26" s="1"/>
      <c r="R26" s="1"/>
      <c r="S26" s="20"/>
      <c r="T26" s="5"/>
    </row>
    <row r="27" spans="1:20" ht="15.75" thickBot="1" x14ac:dyDescent="0.3">
      <c r="A27" s="6"/>
      <c r="B27" s="22"/>
      <c r="C27" s="1"/>
      <c r="D27" s="1"/>
      <c r="E27" s="1"/>
      <c r="F27" s="1"/>
      <c r="G27" s="23" t="s">
        <v>13</v>
      </c>
      <c r="H27" s="1"/>
      <c r="I27" s="1"/>
      <c r="J27" s="1"/>
      <c r="L27" s="1"/>
      <c r="M27" s="1"/>
      <c r="N27" s="1"/>
      <c r="O27" s="1"/>
      <c r="P27" s="1"/>
      <c r="Q27" s="1"/>
      <c r="R27" s="1"/>
      <c r="S27" s="19"/>
      <c r="T27" s="5"/>
    </row>
    <row r="28" spans="1:20" x14ac:dyDescent="0.25">
      <c r="A28" s="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5"/>
    </row>
    <row r="29" spans="1:20" x14ac:dyDescent="0.25">
      <c r="A29" s="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5"/>
    </row>
    <row r="30" spans="1:20" x14ac:dyDescent="0.25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5"/>
    </row>
    <row r="31" spans="1:20" ht="15.75" thickBot="1" x14ac:dyDescent="0.3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5"/>
    </row>
    <row r="32" spans="1:20" x14ac:dyDescent="0.25">
      <c r="A32" s="25" t="s">
        <v>14</v>
      </c>
      <c r="B32" s="26"/>
      <c r="C32" s="26"/>
      <c r="D32" s="26"/>
      <c r="E32" s="26"/>
      <c r="F32" s="26"/>
      <c r="G32" s="27"/>
      <c r="H32" s="27"/>
      <c r="I32" s="27"/>
      <c r="J32" s="27"/>
      <c r="K32" s="27"/>
      <c r="L32" s="28"/>
      <c r="M32" s="28"/>
      <c r="N32" s="29"/>
      <c r="O32" s="148" t="s">
        <v>40</v>
      </c>
      <c r="P32" s="136"/>
      <c r="Q32" s="136"/>
      <c r="R32" s="137"/>
      <c r="S32" s="30" t="s">
        <v>15</v>
      </c>
      <c r="T32" s="31" t="s">
        <v>16</v>
      </c>
    </row>
    <row r="33" spans="1:20" x14ac:dyDescent="0.25">
      <c r="A33" s="32"/>
      <c r="B33" s="33"/>
      <c r="C33" s="33"/>
      <c r="D33" s="33"/>
      <c r="E33" s="33"/>
      <c r="F33" s="33"/>
      <c r="G33" s="34"/>
      <c r="H33" s="34"/>
      <c r="I33" s="34"/>
      <c r="J33" s="34"/>
      <c r="K33" s="34"/>
      <c r="L33" s="35"/>
      <c r="M33" s="35"/>
      <c r="N33" s="36"/>
      <c r="O33" s="149"/>
      <c r="P33" s="138"/>
      <c r="Q33" s="138"/>
      <c r="R33" s="139"/>
      <c r="S33" s="142" t="s">
        <v>41</v>
      </c>
      <c r="T33" s="145">
        <f ca="1">_xlfn.SHEET()</f>
        <v>2</v>
      </c>
    </row>
    <row r="34" spans="1:20" x14ac:dyDescent="0.25">
      <c r="A34" s="32"/>
      <c r="B34" s="33"/>
      <c r="C34" s="33"/>
      <c r="D34" s="33"/>
      <c r="E34" s="33"/>
      <c r="F34" s="33"/>
      <c r="G34" s="34"/>
      <c r="H34" s="34"/>
      <c r="I34" s="34"/>
      <c r="J34" s="34"/>
      <c r="K34" s="34"/>
      <c r="L34" s="35"/>
      <c r="M34" s="35"/>
      <c r="N34" s="36"/>
      <c r="O34" s="149"/>
      <c r="P34" s="138"/>
      <c r="Q34" s="138"/>
      <c r="R34" s="139"/>
      <c r="S34" s="143"/>
      <c r="T34" s="146"/>
    </row>
    <row r="35" spans="1:20" x14ac:dyDescent="0.25">
      <c r="A35" s="32"/>
      <c r="B35" s="33"/>
      <c r="C35" s="33"/>
      <c r="D35" s="33"/>
      <c r="E35" s="33"/>
      <c r="F35" s="33"/>
      <c r="G35" s="34"/>
      <c r="H35" s="34"/>
      <c r="I35" s="34"/>
      <c r="J35" s="34"/>
      <c r="K35" s="34"/>
      <c r="L35" s="35"/>
      <c r="M35" s="35"/>
      <c r="N35" s="36"/>
      <c r="O35" s="149"/>
      <c r="P35" s="138"/>
      <c r="Q35" s="138"/>
      <c r="R35" s="139"/>
      <c r="S35" s="143"/>
      <c r="T35" s="146"/>
    </row>
    <row r="36" spans="1:20" ht="15.75" thickBot="1" x14ac:dyDescent="0.3">
      <c r="A36" s="37"/>
      <c r="B36" s="38"/>
      <c r="C36" s="38"/>
      <c r="D36" s="38"/>
      <c r="E36" s="38"/>
      <c r="F36" s="38"/>
      <c r="G36" s="39"/>
      <c r="H36" s="39"/>
      <c r="I36" s="39"/>
      <c r="J36" s="39"/>
      <c r="K36" s="39"/>
      <c r="L36" s="40"/>
      <c r="M36" s="40"/>
      <c r="N36" s="41"/>
      <c r="O36" s="150"/>
      <c r="P36" s="140"/>
      <c r="Q36" s="140"/>
      <c r="R36" s="141"/>
      <c r="S36" s="144"/>
      <c r="T36" s="147"/>
    </row>
  </sheetData>
  <mergeCells count="3">
    <mergeCell ref="O32:R36"/>
    <mergeCell ref="S33:S36"/>
    <mergeCell ref="T33:T36"/>
  </mergeCells>
  <pageMargins left="0.7" right="0.7" top="0.75" bottom="0.75" header="0.3" footer="0.3"/>
  <pageSetup paperSize="9" scale="38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AV86"/>
  <sheetViews>
    <sheetView view="pageBreakPreview" zoomScale="70" zoomScaleNormal="70" zoomScaleSheetLayoutView="70" workbookViewId="0">
      <selection activeCell="T42" sqref="T42"/>
    </sheetView>
  </sheetViews>
  <sheetFormatPr defaultRowHeight="15" x14ac:dyDescent="0.25"/>
  <cols>
    <col min="1" max="1" width="11.140625" customWidth="1"/>
    <col min="2" max="2" width="15.140625" style="130" customWidth="1"/>
    <col min="3" max="3" width="8.5703125" customWidth="1"/>
    <col min="4" max="4" width="10" customWidth="1"/>
    <col min="5" max="6" width="12.140625" customWidth="1"/>
    <col min="9" max="9" width="15.140625" style="45" customWidth="1"/>
    <col min="12" max="12" width="9.5703125" customWidth="1"/>
    <col min="14" max="14" width="9.7109375" customWidth="1"/>
    <col min="15" max="15" width="14.140625" customWidth="1"/>
    <col min="16" max="16" width="14.85546875" customWidth="1"/>
    <col min="17" max="17" width="13.28515625" customWidth="1"/>
    <col min="20" max="20" width="17.7109375" customWidth="1"/>
    <col min="21" max="21" width="18.5703125" customWidth="1"/>
    <col min="22" max="22" width="24.5703125" customWidth="1"/>
    <col min="24" max="24" width="19.28515625" customWidth="1"/>
    <col min="25" max="25" width="13.5703125" customWidth="1"/>
  </cols>
  <sheetData>
    <row r="1" spans="1:25" x14ac:dyDescent="0.25">
      <c r="A1" s="61"/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</row>
    <row r="2" spans="1:25" x14ac:dyDescent="0.25">
      <c r="A2" s="65" t="s">
        <v>58</v>
      </c>
      <c r="B2" s="66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67"/>
      <c r="U2" s="67"/>
      <c r="V2" s="68"/>
    </row>
    <row r="3" spans="1:25" x14ac:dyDescent="0.25">
      <c r="A3" s="69"/>
      <c r="B3" s="70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8"/>
    </row>
    <row r="4" spans="1:25" ht="15.75" thickBot="1" x14ac:dyDescent="0.3">
      <c r="A4" s="69"/>
      <c r="B4" s="70"/>
      <c r="C4" s="67"/>
      <c r="D4" s="67"/>
      <c r="E4" s="67"/>
      <c r="F4" s="67"/>
      <c r="G4" s="67" t="s">
        <v>59</v>
      </c>
      <c r="H4" s="67"/>
      <c r="I4" s="67"/>
      <c r="J4" s="67"/>
      <c r="K4" s="67"/>
      <c r="L4" s="67"/>
      <c r="M4" s="67"/>
      <c r="N4" s="67"/>
      <c r="O4" s="67"/>
      <c r="P4" s="67" t="s">
        <v>60</v>
      </c>
      <c r="Q4" s="67"/>
      <c r="R4" s="67"/>
      <c r="S4" s="67"/>
      <c r="T4" s="67"/>
      <c r="U4" s="67"/>
      <c r="V4" s="68"/>
    </row>
    <row r="5" spans="1:25" x14ac:dyDescent="0.25">
      <c r="A5" s="61"/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71" t="s">
        <v>2</v>
      </c>
      <c r="Q5" s="63"/>
      <c r="R5" s="63"/>
      <c r="S5" s="63"/>
      <c r="T5" s="63"/>
      <c r="U5" s="71" t="s">
        <v>61</v>
      </c>
      <c r="V5" s="64"/>
    </row>
    <row r="6" spans="1:25" ht="15.75" thickBot="1" x14ac:dyDescent="0.3">
      <c r="A6" s="72"/>
      <c r="B6" s="73" t="s">
        <v>62</v>
      </c>
      <c r="C6" s="74"/>
      <c r="D6" s="74"/>
      <c r="E6" s="74"/>
      <c r="F6" s="74"/>
      <c r="G6" s="74"/>
      <c r="H6" s="74"/>
      <c r="I6" s="75" t="s">
        <v>63</v>
      </c>
      <c r="J6" s="74"/>
      <c r="K6" s="74"/>
      <c r="L6" s="74"/>
      <c r="M6" s="74"/>
      <c r="N6" s="74"/>
      <c r="O6" s="74"/>
      <c r="P6" s="74" t="s">
        <v>64</v>
      </c>
      <c r="Q6" s="74"/>
      <c r="R6" s="74"/>
      <c r="S6" s="74"/>
      <c r="T6" s="74"/>
      <c r="U6" s="74" t="s">
        <v>65</v>
      </c>
      <c r="V6" s="76"/>
    </row>
    <row r="7" spans="1:25" x14ac:dyDescent="0.25">
      <c r="A7" s="69" t="s">
        <v>66</v>
      </c>
      <c r="B7" s="70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77" t="s">
        <v>33</v>
      </c>
      <c r="R7" s="67"/>
      <c r="S7" s="67"/>
      <c r="T7" s="67"/>
      <c r="U7" s="67"/>
      <c r="V7" s="68"/>
    </row>
    <row r="8" spans="1:25" ht="15.75" thickBot="1" x14ac:dyDescent="0.3">
      <c r="A8" s="69"/>
      <c r="B8" s="78" t="str">
        <f>B22</f>
        <v>6801-XV-8029</v>
      </c>
      <c r="C8" s="79" t="s">
        <v>67</v>
      </c>
      <c r="D8" s="167" t="str">
        <f>B8&amp;"/"&amp;I8</f>
        <v>6801-XV-8029/6801-DJB-302</v>
      </c>
      <c r="E8" s="167"/>
      <c r="F8" s="167"/>
      <c r="G8" s="67"/>
      <c r="H8" s="79" t="s">
        <v>67</v>
      </c>
      <c r="I8" s="80" t="s">
        <v>68</v>
      </c>
      <c r="J8" s="79" t="s">
        <v>67</v>
      </c>
      <c r="K8" s="168" t="s">
        <v>69</v>
      </c>
      <c r="L8" s="168"/>
      <c r="M8" s="168"/>
      <c r="N8" s="79" t="s">
        <v>67</v>
      </c>
      <c r="O8" s="81" t="s">
        <v>70</v>
      </c>
      <c r="P8" s="67"/>
      <c r="Q8" s="82" t="s">
        <v>71</v>
      </c>
      <c r="R8" s="169" t="s">
        <v>72</v>
      </c>
      <c r="S8" s="168"/>
      <c r="T8" s="170"/>
      <c r="U8" s="77" t="s">
        <v>73</v>
      </c>
      <c r="V8" s="68"/>
    </row>
    <row r="9" spans="1:25" ht="15.75" thickBot="1" x14ac:dyDescent="0.3">
      <c r="A9" s="69"/>
      <c r="B9" s="83" t="s">
        <v>34</v>
      </c>
      <c r="C9" s="79"/>
      <c r="D9" s="67"/>
      <c r="E9" s="67"/>
      <c r="F9" s="67"/>
      <c r="G9" s="67"/>
      <c r="H9" s="79"/>
      <c r="I9" s="84">
        <v>17</v>
      </c>
      <c r="J9" s="67"/>
      <c r="K9" s="67"/>
      <c r="L9" s="67"/>
      <c r="M9" s="67"/>
      <c r="N9" s="67"/>
      <c r="O9" s="84">
        <v>43</v>
      </c>
      <c r="P9" s="67"/>
      <c r="Q9" s="85" t="s">
        <v>11</v>
      </c>
      <c r="R9" s="67"/>
      <c r="S9" s="67"/>
      <c r="T9" s="67"/>
      <c r="U9" s="85" t="s">
        <v>74</v>
      </c>
      <c r="V9" s="68"/>
      <c r="Y9" s="86"/>
    </row>
    <row r="10" spans="1:25" ht="15.75" thickBot="1" x14ac:dyDescent="0.3">
      <c r="A10" s="69"/>
      <c r="B10" s="83" t="s">
        <v>35</v>
      </c>
      <c r="C10" s="87" t="s">
        <v>75</v>
      </c>
      <c r="D10" s="67"/>
      <c r="E10" s="67"/>
      <c r="F10" s="67"/>
      <c r="G10" s="67"/>
      <c r="H10" s="87" t="s">
        <v>75</v>
      </c>
      <c r="I10" s="84">
        <v>18</v>
      </c>
      <c r="J10" s="87" t="s">
        <v>75</v>
      </c>
      <c r="K10" s="88"/>
      <c r="L10" s="88"/>
      <c r="M10" s="88"/>
      <c r="N10" s="87" t="s">
        <v>75</v>
      </c>
      <c r="O10" s="84">
        <v>44</v>
      </c>
      <c r="P10" s="67"/>
      <c r="Q10" s="89"/>
      <c r="R10" s="67"/>
      <c r="S10" s="67"/>
      <c r="T10" s="67"/>
      <c r="U10" s="90" t="s">
        <v>39</v>
      </c>
      <c r="V10" s="68"/>
    </row>
    <row r="11" spans="1:25" ht="15.75" thickBot="1" x14ac:dyDescent="0.3">
      <c r="A11" s="69"/>
      <c r="B11" s="84" t="s">
        <v>36</v>
      </c>
      <c r="C11" s="79"/>
      <c r="D11" s="67"/>
      <c r="E11" s="67"/>
      <c r="F11" s="67"/>
      <c r="G11" s="67"/>
      <c r="H11" s="87" t="s">
        <v>76</v>
      </c>
      <c r="I11" s="84">
        <v>19</v>
      </c>
      <c r="J11" s="87" t="s">
        <v>76</v>
      </c>
      <c r="K11" s="88"/>
      <c r="L11" s="88"/>
      <c r="M11" s="88"/>
      <c r="N11" s="87"/>
      <c r="O11" s="67"/>
      <c r="P11" s="67"/>
      <c r="Q11" s="67"/>
      <c r="R11" s="67"/>
      <c r="S11" s="67"/>
      <c r="T11" s="67"/>
      <c r="U11" s="90" t="s">
        <v>77</v>
      </c>
      <c r="V11" s="68"/>
    </row>
    <row r="12" spans="1:25" ht="15.75" thickBot="1" x14ac:dyDescent="0.3">
      <c r="A12" s="69"/>
      <c r="B12" s="70"/>
      <c r="C12" s="79" t="s">
        <v>78</v>
      </c>
      <c r="D12" s="67"/>
      <c r="E12" s="67"/>
      <c r="F12" s="67"/>
      <c r="G12" s="67"/>
      <c r="H12" s="88"/>
      <c r="I12" s="63"/>
      <c r="J12" s="88"/>
      <c r="K12" s="88"/>
      <c r="L12" s="88"/>
      <c r="M12" s="88"/>
      <c r="N12" s="87"/>
      <c r="O12" s="47" t="s">
        <v>79</v>
      </c>
      <c r="P12" s="67"/>
      <c r="Q12" s="67"/>
      <c r="R12" s="67"/>
      <c r="S12" s="67"/>
      <c r="T12" s="67"/>
      <c r="U12" s="90"/>
      <c r="V12" s="68"/>
      <c r="X12" t="s">
        <v>80</v>
      </c>
      <c r="Y12" t="str">
        <f>RIGHT(Y22,5)</f>
        <v>-8029</v>
      </c>
    </row>
    <row r="13" spans="1:25" ht="15.75" thickBot="1" x14ac:dyDescent="0.3">
      <c r="A13" s="69"/>
      <c r="B13" s="70"/>
      <c r="C13" s="67"/>
      <c r="D13" s="67"/>
      <c r="E13" s="67"/>
      <c r="F13" s="67"/>
      <c r="G13" s="67"/>
      <c r="H13" s="67"/>
      <c r="I13" s="91" t="s">
        <v>13</v>
      </c>
      <c r="J13" s="88"/>
      <c r="K13" s="88"/>
      <c r="L13" s="88"/>
      <c r="M13" s="88"/>
      <c r="N13" s="87"/>
      <c r="O13" s="67"/>
      <c r="P13" s="67"/>
      <c r="Q13" s="67"/>
      <c r="R13" s="67"/>
      <c r="S13" s="67"/>
      <c r="T13" s="67"/>
      <c r="U13" s="89"/>
      <c r="V13" s="68"/>
    </row>
    <row r="14" spans="1:25" x14ac:dyDescent="0.25">
      <c r="A14" s="69"/>
      <c r="B14" s="70"/>
      <c r="C14" s="67"/>
      <c r="D14" s="67"/>
      <c r="E14" s="67"/>
      <c r="F14" s="67"/>
      <c r="G14" s="67"/>
      <c r="H14" s="67"/>
      <c r="I14" s="67"/>
      <c r="J14" s="92"/>
      <c r="K14" s="92"/>
      <c r="L14" s="92"/>
      <c r="M14" s="92"/>
      <c r="N14" s="92"/>
      <c r="O14" s="67"/>
      <c r="P14" s="67"/>
      <c r="Q14" s="67"/>
      <c r="R14" s="67"/>
      <c r="S14" s="67"/>
      <c r="T14" s="67"/>
      <c r="U14" s="67"/>
      <c r="V14" s="68"/>
    </row>
    <row r="15" spans="1:25" x14ac:dyDescent="0.25">
      <c r="A15" s="69"/>
      <c r="B15" s="70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8"/>
    </row>
    <row r="16" spans="1:25" x14ac:dyDescent="0.25">
      <c r="A16" s="69"/>
      <c r="B16" s="70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8"/>
    </row>
    <row r="17" spans="1:16272" x14ac:dyDescent="0.25">
      <c r="A17" s="69"/>
      <c r="B17" s="70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8"/>
    </row>
    <row r="18" spans="1:16272" x14ac:dyDescent="0.25">
      <c r="A18" s="69"/>
      <c r="B18" s="70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8"/>
    </row>
    <row r="19" spans="1:16272" x14ac:dyDescent="0.25">
      <c r="A19" s="69"/>
      <c r="B19" s="70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 t="s">
        <v>81</v>
      </c>
      <c r="Q19" s="67"/>
      <c r="R19" s="67"/>
      <c r="S19" s="67"/>
      <c r="T19" s="67"/>
      <c r="U19" s="67"/>
      <c r="V19" s="68"/>
    </row>
    <row r="20" spans="1:16272" x14ac:dyDescent="0.25">
      <c r="A20" s="69"/>
      <c r="B20" s="70"/>
      <c r="C20" s="67"/>
      <c r="D20" s="168" t="str">
        <f>B22&amp;"/"&amp;I22</f>
        <v>6801-XV-8029/6802-DJB-243</v>
      </c>
      <c r="E20" s="168"/>
      <c r="F20" s="168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 t="s">
        <v>82</v>
      </c>
      <c r="V20" s="68"/>
    </row>
    <row r="21" spans="1:16272" ht="12.75" customHeight="1" x14ac:dyDescent="0.25">
      <c r="A21" s="69"/>
      <c r="B21" s="93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81" t="s">
        <v>83</v>
      </c>
      <c r="R21" s="67"/>
      <c r="S21" s="67"/>
      <c r="T21" s="67"/>
      <c r="U21" s="67"/>
      <c r="V21" s="68"/>
      <c r="X21" s="94" t="s">
        <v>84</v>
      </c>
      <c r="Y21" s="94" t="s">
        <v>85</v>
      </c>
      <c r="Z21" s="94" t="s">
        <v>86</v>
      </c>
      <c r="AA21" s="94" t="s">
        <v>87</v>
      </c>
      <c r="AB21" s="94" t="s">
        <v>88</v>
      </c>
      <c r="AC21" s="94" t="s">
        <v>89</v>
      </c>
      <c r="AD21" s="94" t="s">
        <v>90</v>
      </c>
      <c r="AE21" s="94" t="s">
        <v>91</v>
      </c>
      <c r="AF21" s="94" t="s">
        <v>92</v>
      </c>
      <c r="AG21" s="94" t="s">
        <v>93</v>
      </c>
      <c r="AH21" s="94" t="s">
        <v>94</v>
      </c>
      <c r="AI21" s="94" t="s">
        <v>95</v>
      </c>
      <c r="AJ21" s="94" t="s">
        <v>96</v>
      </c>
      <c r="AK21" s="94" t="s">
        <v>97</v>
      </c>
      <c r="AL21" s="94" t="s">
        <v>98</v>
      </c>
      <c r="AM21" s="94" t="s">
        <v>99</v>
      </c>
      <c r="AN21" s="94" t="s">
        <v>52</v>
      </c>
      <c r="AO21" s="94" t="s">
        <v>50</v>
      </c>
      <c r="AP21" s="94" t="s">
        <v>51</v>
      </c>
    </row>
    <row r="22" spans="1:16272" s="97" customFormat="1" ht="17.649999999999999" customHeight="1" thickBot="1" x14ac:dyDescent="0.3">
      <c r="A22" s="69" t="s">
        <v>66</v>
      </c>
      <c r="B22" s="78" t="s">
        <v>100</v>
      </c>
      <c r="C22" s="168" t="s">
        <v>101</v>
      </c>
      <c r="D22" s="168"/>
      <c r="E22" s="168"/>
      <c r="F22" s="168"/>
      <c r="G22" s="67"/>
      <c r="H22" s="79" t="s">
        <v>102</v>
      </c>
      <c r="I22" s="80" t="s">
        <v>103</v>
      </c>
      <c r="J22" s="95" t="s">
        <v>104</v>
      </c>
      <c r="K22" s="168" t="s">
        <v>105</v>
      </c>
      <c r="L22" s="168"/>
      <c r="M22" s="168"/>
      <c r="N22" s="95" t="s">
        <v>104</v>
      </c>
      <c r="O22" s="81" t="s">
        <v>106</v>
      </c>
      <c r="P22" s="67"/>
      <c r="Q22" s="82" t="s">
        <v>107</v>
      </c>
      <c r="R22" s="169" t="s">
        <v>108</v>
      </c>
      <c r="S22" s="168"/>
      <c r="T22" s="170"/>
      <c r="U22" s="77" t="s">
        <v>109</v>
      </c>
      <c r="V22" s="96"/>
      <c r="X22" s="98" t="s">
        <v>110</v>
      </c>
      <c r="Y22" s="98" t="s">
        <v>100</v>
      </c>
      <c r="Z22" s="98" t="s">
        <v>103</v>
      </c>
      <c r="AA22" s="98">
        <v>11</v>
      </c>
      <c r="AB22" s="98" t="s">
        <v>81</v>
      </c>
      <c r="AC22" s="98" t="s">
        <v>106</v>
      </c>
      <c r="AD22" s="98">
        <v>21</v>
      </c>
      <c r="AE22" s="98" t="s">
        <v>106</v>
      </c>
      <c r="AF22" s="98">
        <v>22</v>
      </c>
      <c r="AG22" s="98" t="s">
        <v>83</v>
      </c>
      <c r="AH22" s="98" t="s">
        <v>111</v>
      </c>
      <c r="AI22" s="98" t="s">
        <v>112</v>
      </c>
      <c r="AJ22" s="98" t="s">
        <v>11</v>
      </c>
      <c r="AK22" s="98" t="s">
        <v>82</v>
      </c>
      <c r="AL22" s="98" t="s">
        <v>113</v>
      </c>
      <c r="AM22" s="98" t="s">
        <v>114</v>
      </c>
      <c r="AN22" s="98">
        <v>3</v>
      </c>
      <c r="AO22" s="98">
        <v>6</v>
      </c>
      <c r="AP22" s="98">
        <v>21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</row>
    <row r="23" spans="1:16272" ht="15.75" thickBot="1" x14ac:dyDescent="0.3">
      <c r="A23" s="69"/>
      <c r="B23" s="83" t="s">
        <v>34</v>
      </c>
      <c r="C23" s="67"/>
      <c r="D23" s="67"/>
      <c r="E23" s="67"/>
      <c r="F23" s="67"/>
      <c r="G23" s="67"/>
      <c r="H23" s="79"/>
      <c r="I23" s="84">
        <v>31</v>
      </c>
      <c r="J23" s="99"/>
      <c r="K23" s="67"/>
      <c r="L23" s="67"/>
      <c r="M23" s="67"/>
      <c r="N23" s="67"/>
      <c r="O23" s="84">
        <v>21</v>
      </c>
      <c r="P23" s="67"/>
      <c r="Q23" s="85" t="s">
        <v>11</v>
      </c>
      <c r="R23" s="67"/>
      <c r="S23" s="67"/>
      <c r="T23" s="67"/>
      <c r="U23" s="85" t="s">
        <v>115</v>
      </c>
      <c r="V23" s="68"/>
      <c r="X23" s="98" t="s">
        <v>116</v>
      </c>
      <c r="Y23" s="98" t="s">
        <v>100</v>
      </c>
      <c r="Z23" s="98" t="s">
        <v>103</v>
      </c>
      <c r="AA23" s="98">
        <v>12</v>
      </c>
      <c r="AB23" s="98" t="s">
        <v>81</v>
      </c>
      <c r="AC23" s="98" t="s">
        <v>106</v>
      </c>
      <c r="AD23" s="98">
        <v>23</v>
      </c>
      <c r="AE23" s="98" t="s">
        <v>106</v>
      </c>
      <c r="AF23" s="98">
        <v>24</v>
      </c>
      <c r="AG23" s="98" t="s">
        <v>83</v>
      </c>
      <c r="AH23" s="98" t="s">
        <v>111</v>
      </c>
      <c r="AI23" s="98" t="s">
        <v>112</v>
      </c>
      <c r="AJ23" s="98" t="s">
        <v>11</v>
      </c>
      <c r="AK23" s="98" t="s">
        <v>82</v>
      </c>
      <c r="AL23" s="98" t="s">
        <v>113</v>
      </c>
      <c r="AM23" s="98" t="s">
        <v>114</v>
      </c>
      <c r="AN23" s="98">
        <v>3</v>
      </c>
      <c r="AO23" s="98">
        <v>6</v>
      </c>
      <c r="AP23" s="98">
        <v>23</v>
      </c>
    </row>
    <row r="24" spans="1:16272" ht="15.75" thickBot="1" x14ac:dyDescent="0.3">
      <c r="A24" s="69"/>
      <c r="B24" s="83" t="s">
        <v>35</v>
      </c>
      <c r="C24" s="151" t="s">
        <v>117</v>
      </c>
      <c r="D24" s="151"/>
      <c r="E24" s="151"/>
      <c r="F24" s="151"/>
      <c r="G24" s="67"/>
      <c r="H24" s="87" t="s">
        <v>118</v>
      </c>
      <c r="I24" s="84">
        <v>32</v>
      </c>
      <c r="J24" s="100" t="s">
        <v>119</v>
      </c>
      <c r="K24" s="67"/>
      <c r="L24" s="67"/>
      <c r="M24" s="67"/>
      <c r="N24" s="100" t="s">
        <v>104</v>
      </c>
      <c r="O24" s="84">
        <v>22</v>
      </c>
      <c r="P24" s="67"/>
      <c r="Q24" s="89"/>
      <c r="R24" s="67"/>
      <c r="S24" s="67"/>
      <c r="T24" s="67"/>
      <c r="U24" s="90" t="s">
        <v>38</v>
      </c>
      <c r="V24" s="68"/>
      <c r="X24" s="98" t="s">
        <v>120</v>
      </c>
      <c r="Y24" s="98" t="s">
        <v>100</v>
      </c>
      <c r="Z24" s="98" t="s">
        <v>68</v>
      </c>
      <c r="AA24" s="98">
        <v>6</v>
      </c>
      <c r="AB24" s="98" t="s">
        <v>64</v>
      </c>
      <c r="AC24" s="98" t="s">
        <v>70</v>
      </c>
      <c r="AD24" s="98">
        <v>43</v>
      </c>
      <c r="AE24" s="98" t="s">
        <v>70</v>
      </c>
      <c r="AF24" s="98">
        <v>44</v>
      </c>
      <c r="AG24" s="98" t="s">
        <v>33</v>
      </c>
      <c r="AH24" s="98" t="s">
        <v>121</v>
      </c>
      <c r="AI24" s="98" t="s">
        <v>122</v>
      </c>
      <c r="AJ24" s="98" t="s">
        <v>11</v>
      </c>
      <c r="AK24" s="98" t="s">
        <v>65</v>
      </c>
      <c r="AL24" s="98" t="s">
        <v>123</v>
      </c>
      <c r="AM24" s="98" t="s">
        <v>124</v>
      </c>
      <c r="AN24" s="98">
        <v>8</v>
      </c>
      <c r="AO24" s="98">
        <v>8</v>
      </c>
      <c r="AP24" s="98">
        <v>22</v>
      </c>
    </row>
    <row r="25" spans="1:16272" ht="15.75" thickBot="1" x14ac:dyDescent="0.3">
      <c r="A25" s="69"/>
      <c r="B25" s="47" t="s">
        <v>36</v>
      </c>
      <c r="C25" s="151" t="s">
        <v>125</v>
      </c>
      <c r="D25" s="151"/>
      <c r="E25" s="151"/>
      <c r="F25" s="151"/>
      <c r="G25" s="67"/>
      <c r="H25" s="87" t="s">
        <v>126</v>
      </c>
      <c r="I25" s="84">
        <v>34</v>
      </c>
      <c r="J25" s="100" t="s">
        <v>127</v>
      </c>
      <c r="K25" s="67"/>
      <c r="L25" s="67"/>
      <c r="M25" s="67"/>
      <c r="N25" s="100" t="s">
        <v>127</v>
      </c>
      <c r="O25" s="84">
        <v>23</v>
      </c>
      <c r="P25" s="67"/>
      <c r="Q25" s="67"/>
      <c r="R25" s="67"/>
      <c r="S25" s="67"/>
      <c r="T25" s="67"/>
      <c r="U25" s="89" t="s">
        <v>128</v>
      </c>
      <c r="V25" s="68"/>
    </row>
    <row r="26" spans="1:16272" ht="15.75" thickBot="1" x14ac:dyDescent="0.3">
      <c r="A26" s="69"/>
      <c r="B26" s="47" t="s">
        <v>37</v>
      </c>
      <c r="C26" s="151" t="s">
        <v>129</v>
      </c>
      <c r="D26" s="151"/>
      <c r="E26" s="151"/>
      <c r="F26" s="151"/>
      <c r="G26" s="67"/>
      <c r="H26" s="87" t="s">
        <v>130</v>
      </c>
      <c r="I26" s="84">
        <v>35</v>
      </c>
      <c r="J26" s="100" t="s">
        <v>131</v>
      </c>
      <c r="K26" s="67"/>
      <c r="L26" s="67"/>
      <c r="M26" s="67"/>
      <c r="N26" s="100" t="s">
        <v>127</v>
      </c>
      <c r="O26" s="84">
        <v>24</v>
      </c>
      <c r="P26" s="67"/>
      <c r="Q26" s="67"/>
      <c r="R26" s="67"/>
      <c r="S26" s="67"/>
      <c r="T26" s="67"/>
      <c r="U26" s="85" t="s">
        <v>132</v>
      </c>
      <c r="V26" s="68"/>
    </row>
    <row r="27" spans="1:16272" ht="15.75" thickBot="1" x14ac:dyDescent="0.3">
      <c r="A27" s="69"/>
      <c r="B27" s="70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101"/>
      <c r="O27" s="67"/>
      <c r="P27" s="67"/>
      <c r="Q27" s="67"/>
      <c r="R27" s="67"/>
      <c r="S27" s="67"/>
      <c r="T27" s="67"/>
      <c r="U27" s="90" t="s">
        <v>38</v>
      </c>
      <c r="V27" s="68"/>
    </row>
    <row r="28" spans="1:16272" ht="15.75" thickBot="1" x14ac:dyDescent="0.3">
      <c r="A28" s="69"/>
      <c r="B28" s="70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47" t="s">
        <v>79</v>
      </c>
      <c r="P28" s="67"/>
      <c r="Q28" s="67"/>
      <c r="R28" s="67"/>
      <c r="S28" s="67"/>
      <c r="T28" s="67"/>
      <c r="U28" s="89" t="s">
        <v>128</v>
      </c>
      <c r="V28" s="68"/>
    </row>
    <row r="29" spans="1:16272" ht="15.75" thickBot="1" x14ac:dyDescent="0.3">
      <c r="A29" s="69"/>
      <c r="B29" s="70"/>
      <c r="C29" s="67"/>
      <c r="D29" s="67"/>
      <c r="E29" s="67"/>
      <c r="F29" s="67"/>
      <c r="G29" s="67"/>
      <c r="H29" s="67"/>
      <c r="I29" s="91" t="s">
        <v>13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8"/>
    </row>
    <row r="30" spans="1:16272" x14ac:dyDescent="0.25">
      <c r="A30" s="69"/>
      <c r="B30" s="70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8"/>
    </row>
    <row r="31" spans="1:16272" x14ac:dyDescent="0.25">
      <c r="A31" s="69"/>
      <c r="B31" s="70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8"/>
    </row>
    <row r="32" spans="1:16272" x14ac:dyDescent="0.25">
      <c r="A32" s="69"/>
      <c r="B32" s="70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8"/>
    </row>
    <row r="33" spans="1:22" x14ac:dyDescent="0.25">
      <c r="A33" s="69"/>
      <c r="B33" s="70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8"/>
    </row>
    <row r="34" spans="1:22" x14ac:dyDescent="0.25">
      <c r="A34" s="69"/>
      <c r="B34" s="70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8"/>
    </row>
    <row r="35" spans="1:22" x14ac:dyDescent="0.25">
      <c r="A35" s="69"/>
      <c r="B35" s="70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8"/>
    </row>
    <row r="36" spans="1:22" x14ac:dyDescent="0.25">
      <c r="A36" s="69"/>
      <c r="B36" s="70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8"/>
    </row>
    <row r="37" spans="1:22" x14ac:dyDescent="0.25">
      <c r="A37" s="69"/>
      <c r="B37" s="70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8"/>
    </row>
    <row r="38" spans="1:22" x14ac:dyDescent="0.25">
      <c r="A38" s="69"/>
      <c r="B38" s="70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8"/>
    </row>
    <row r="39" spans="1:22" x14ac:dyDescent="0.25">
      <c r="A39" s="69"/>
      <c r="B39" s="70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8"/>
    </row>
    <row r="40" spans="1:22" x14ac:dyDescent="0.25">
      <c r="A40" s="69"/>
      <c r="B40" s="70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8"/>
    </row>
    <row r="41" spans="1:22" x14ac:dyDescent="0.25">
      <c r="A41" s="69"/>
      <c r="B41" s="70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8"/>
    </row>
    <row r="42" spans="1:22" x14ac:dyDescent="0.25">
      <c r="A42" s="69"/>
      <c r="B42" s="70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8"/>
    </row>
    <row r="43" spans="1:22" x14ac:dyDescent="0.25">
      <c r="A43" s="69"/>
      <c r="B43" s="70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8"/>
    </row>
    <row r="44" spans="1:22" x14ac:dyDescent="0.25">
      <c r="A44" s="69"/>
      <c r="B44" s="70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8"/>
    </row>
    <row r="45" spans="1:22" x14ac:dyDescent="0.25">
      <c r="A45" s="69"/>
      <c r="B45" s="70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8"/>
    </row>
    <row r="46" spans="1:22" x14ac:dyDescent="0.25">
      <c r="A46" s="69"/>
      <c r="B46" s="70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8"/>
    </row>
    <row r="47" spans="1:22" x14ac:dyDescent="0.25">
      <c r="A47" s="69"/>
      <c r="B47" s="70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8"/>
    </row>
    <row r="48" spans="1:22" x14ac:dyDescent="0.25">
      <c r="A48" s="69"/>
      <c r="B48" s="70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8"/>
    </row>
    <row r="49" spans="1:22" x14ac:dyDescent="0.25">
      <c r="A49" s="69"/>
      <c r="B49" s="70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8"/>
    </row>
    <row r="50" spans="1:22" x14ac:dyDescent="0.25">
      <c r="A50" s="69"/>
      <c r="B50" s="70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8"/>
    </row>
    <row r="51" spans="1:22" s="106" customFormat="1" x14ac:dyDescent="0.25">
      <c r="A51" s="102"/>
      <c r="B51" s="103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5"/>
    </row>
    <row r="52" spans="1:22" s="106" customFormat="1" x14ac:dyDescent="0.25">
      <c r="A52" s="102"/>
      <c r="B52" s="103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5"/>
    </row>
    <row r="53" spans="1:22" s="106" customFormat="1" x14ac:dyDescent="0.25">
      <c r="A53" s="102"/>
      <c r="B53" s="103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5"/>
    </row>
    <row r="54" spans="1:22" s="106" customFormat="1" x14ac:dyDescent="0.25">
      <c r="A54" s="107"/>
      <c r="B54" s="103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5"/>
    </row>
    <row r="55" spans="1:22" s="106" customFormat="1" x14ac:dyDescent="0.25">
      <c r="A55" s="102"/>
      <c r="B55" s="103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5"/>
    </row>
    <row r="56" spans="1:22" s="106" customFormat="1" x14ac:dyDescent="0.25">
      <c r="A56" s="102"/>
      <c r="B56" s="103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5"/>
    </row>
    <row r="57" spans="1:22" s="106" customFormat="1" ht="15.75" thickBot="1" x14ac:dyDescent="0.3">
      <c r="A57" s="102"/>
      <c r="B57" s="103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5"/>
    </row>
    <row r="58" spans="1:22" s="106" customFormat="1" x14ac:dyDescent="0.25">
      <c r="A58" s="108" t="s">
        <v>133</v>
      </c>
      <c r="B58" s="109"/>
      <c r="C58" s="110"/>
      <c r="D58" s="110"/>
      <c r="E58" s="110"/>
      <c r="F58" s="110"/>
      <c r="G58" s="110"/>
      <c r="H58" s="110"/>
      <c r="I58" s="111"/>
      <c r="J58" s="111"/>
      <c r="K58" s="111"/>
      <c r="L58" s="111"/>
      <c r="M58" s="111"/>
      <c r="N58" s="112"/>
      <c r="O58" s="112"/>
      <c r="P58" s="113"/>
      <c r="Q58" s="152" t="s">
        <v>134</v>
      </c>
      <c r="R58" s="153"/>
      <c r="S58" s="153"/>
      <c r="T58" s="154"/>
      <c r="U58" s="114" t="s">
        <v>135</v>
      </c>
      <c r="V58" s="115" t="s">
        <v>136</v>
      </c>
    </row>
    <row r="59" spans="1:22" s="106" customFormat="1" x14ac:dyDescent="0.25">
      <c r="A59" s="116"/>
      <c r="B59" s="117"/>
      <c r="C59" s="118"/>
      <c r="D59" s="118"/>
      <c r="E59" s="118"/>
      <c r="F59" s="118"/>
      <c r="G59" s="118"/>
      <c r="H59" s="118"/>
      <c r="I59" s="119"/>
      <c r="J59" s="119"/>
      <c r="K59" s="119"/>
      <c r="L59" s="119"/>
      <c r="M59" s="119"/>
      <c r="N59" s="120"/>
      <c r="O59" s="120"/>
      <c r="P59" s="121"/>
      <c r="Q59" s="155"/>
      <c r="R59" s="156"/>
      <c r="S59" s="156"/>
      <c r="T59" s="157"/>
      <c r="U59" s="161">
        <v>2</v>
      </c>
      <c r="V59" s="164">
        <v>984</v>
      </c>
    </row>
    <row r="60" spans="1:22" s="106" customFormat="1" x14ac:dyDescent="0.25">
      <c r="A60" s="116"/>
      <c r="B60" s="117"/>
      <c r="C60" s="118"/>
      <c r="D60" s="118"/>
      <c r="E60" s="118"/>
      <c r="F60" s="118"/>
      <c r="G60" s="118"/>
      <c r="H60" s="118"/>
      <c r="I60" s="119"/>
      <c r="J60" s="119"/>
      <c r="K60" s="119"/>
      <c r="L60" s="119"/>
      <c r="M60" s="119"/>
      <c r="N60" s="120"/>
      <c r="O60" s="120"/>
      <c r="P60" s="121"/>
      <c r="Q60" s="155"/>
      <c r="R60" s="156"/>
      <c r="S60" s="156"/>
      <c r="T60" s="157"/>
      <c r="U60" s="162"/>
      <c r="V60" s="165"/>
    </row>
    <row r="61" spans="1:22" s="106" customFormat="1" x14ac:dyDescent="0.25">
      <c r="A61" s="116"/>
      <c r="B61" s="117"/>
      <c r="C61" s="118"/>
      <c r="D61" s="118"/>
      <c r="E61" s="118"/>
      <c r="F61" s="118"/>
      <c r="G61" s="118"/>
      <c r="H61" s="118"/>
      <c r="I61" s="119"/>
      <c r="J61" s="119"/>
      <c r="K61" s="119"/>
      <c r="L61" s="119"/>
      <c r="M61" s="119"/>
      <c r="N61" s="120"/>
      <c r="O61" s="120"/>
      <c r="P61" s="121"/>
      <c r="Q61" s="155"/>
      <c r="R61" s="156"/>
      <c r="S61" s="156"/>
      <c r="T61" s="157"/>
      <c r="U61" s="162"/>
      <c r="V61" s="165"/>
    </row>
    <row r="62" spans="1:22" s="106" customFormat="1" ht="15.75" thickBot="1" x14ac:dyDescent="0.3">
      <c r="A62" s="122"/>
      <c r="B62" s="123"/>
      <c r="C62" s="124"/>
      <c r="D62" s="124"/>
      <c r="E62" s="124"/>
      <c r="F62" s="124"/>
      <c r="G62" s="124"/>
      <c r="H62" s="124"/>
      <c r="I62" s="125"/>
      <c r="J62" s="125"/>
      <c r="K62" s="125"/>
      <c r="L62" s="125"/>
      <c r="M62" s="125"/>
      <c r="N62" s="126"/>
      <c r="O62" s="126"/>
      <c r="P62" s="127"/>
      <c r="Q62" s="158"/>
      <c r="R62" s="159"/>
      <c r="S62" s="159"/>
      <c r="T62" s="160"/>
      <c r="U62" s="163"/>
      <c r="V62" s="166"/>
    </row>
    <row r="63" spans="1:22" s="106" customFormat="1" x14ac:dyDescent="0.25">
      <c r="B63" s="128"/>
      <c r="I63" s="129"/>
    </row>
    <row r="64" spans="1:22" s="106" customFormat="1" x14ac:dyDescent="0.25">
      <c r="B64" s="128"/>
      <c r="I64" s="129"/>
    </row>
    <row r="65" spans="2:9" s="106" customFormat="1" x14ac:dyDescent="0.25">
      <c r="B65" s="128"/>
      <c r="I65" s="129"/>
    </row>
    <row r="66" spans="2:9" s="106" customFormat="1" x14ac:dyDescent="0.25">
      <c r="B66" s="128"/>
      <c r="I66" s="129"/>
    </row>
    <row r="67" spans="2:9" s="106" customFormat="1" x14ac:dyDescent="0.25">
      <c r="B67" s="128"/>
      <c r="I67" s="129"/>
    </row>
    <row r="68" spans="2:9" s="106" customFormat="1" x14ac:dyDescent="0.25">
      <c r="B68" s="128"/>
      <c r="I68" s="129"/>
    </row>
    <row r="69" spans="2:9" s="106" customFormat="1" x14ac:dyDescent="0.25">
      <c r="B69" s="128"/>
      <c r="I69" s="129"/>
    </row>
    <row r="70" spans="2:9" s="106" customFormat="1" x14ac:dyDescent="0.25">
      <c r="B70" s="128"/>
      <c r="I70" s="129"/>
    </row>
    <row r="71" spans="2:9" s="106" customFormat="1" x14ac:dyDescent="0.25">
      <c r="B71" s="128"/>
      <c r="I71" s="129"/>
    </row>
    <row r="72" spans="2:9" s="106" customFormat="1" x14ac:dyDescent="0.25">
      <c r="B72" s="128"/>
      <c r="I72" s="129"/>
    </row>
    <row r="73" spans="2:9" s="106" customFormat="1" x14ac:dyDescent="0.25">
      <c r="B73" s="128"/>
      <c r="I73" s="129"/>
    </row>
    <row r="74" spans="2:9" s="106" customFormat="1" x14ac:dyDescent="0.25">
      <c r="B74" s="128"/>
      <c r="I74" s="129"/>
    </row>
    <row r="75" spans="2:9" s="106" customFormat="1" x14ac:dyDescent="0.25">
      <c r="B75" s="128"/>
      <c r="I75" s="129"/>
    </row>
    <row r="76" spans="2:9" s="106" customFormat="1" x14ac:dyDescent="0.25">
      <c r="B76" s="128"/>
      <c r="I76" s="129"/>
    </row>
    <row r="77" spans="2:9" s="106" customFormat="1" x14ac:dyDescent="0.25">
      <c r="B77" s="128"/>
      <c r="I77" s="129"/>
    </row>
    <row r="78" spans="2:9" s="106" customFormat="1" x14ac:dyDescent="0.25">
      <c r="B78" s="128"/>
      <c r="I78" s="129"/>
    </row>
    <row r="79" spans="2:9" s="106" customFormat="1" x14ac:dyDescent="0.25">
      <c r="B79" s="128"/>
      <c r="I79" s="129"/>
    </row>
    <row r="80" spans="2:9" s="106" customFormat="1" x14ac:dyDescent="0.25">
      <c r="B80" s="128"/>
      <c r="I80" s="129"/>
    </row>
    <row r="81" spans="2:18" s="106" customFormat="1" x14ac:dyDescent="0.25">
      <c r="B81" s="128"/>
      <c r="I81" s="129"/>
    </row>
    <row r="82" spans="2:18" s="106" customFormat="1" x14ac:dyDescent="0.25">
      <c r="B82" s="128"/>
      <c r="I82" s="129"/>
    </row>
    <row r="83" spans="2:18" s="106" customFormat="1" x14ac:dyDescent="0.25">
      <c r="B83" s="128"/>
      <c r="I83" s="129"/>
    </row>
    <row r="84" spans="2:18" s="106" customFormat="1" x14ac:dyDescent="0.25">
      <c r="B84" s="128"/>
      <c r="I84" s="129"/>
    </row>
    <row r="85" spans="2:18" s="106" customFormat="1" x14ac:dyDescent="0.25">
      <c r="B85" s="128"/>
      <c r="I85" s="129"/>
      <c r="R85" s="129"/>
    </row>
    <row r="86" spans="2:18" s="106" customFormat="1" x14ac:dyDescent="0.25">
      <c r="B86" s="128"/>
      <c r="I86" s="129"/>
    </row>
  </sheetData>
  <mergeCells count="13">
    <mergeCell ref="V59:V62"/>
    <mergeCell ref="D8:F8"/>
    <mergeCell ref="K8:M8"/>
    <mergeCell ref="R8:T8"/>
    <mergeCell ref="D20:F20"/>
    <mergeCell ref="C22:F22"/>
    <mergeCell ref="K22:M22"/>
    <mergeCell ref="R22:T22"/>
    <mergeCell ref="C24:F24"/>
    <mergeCell ref="C25:F25"/>
    <mergeCell ref="C26:F26"/>
    <mergeCell ref="Q58:T62"/>
    <mergeCell ref="U59:U62"/>
  </mergeCells>
  <conditionalFormatting sqref="X21:Y21">
    <cfRule type="duplicateValues" dxfId="0" priority="1"/>
  </conditionalFormatting>
  <printOptions horizontalCentered="1"/>
  <pageMargins left="0.43307086614173229" right="0.43307086614173229" top="0.74803149606299213" bottom="0.35433070866141736" header="0.31496062992125984" footer="0.19685039370078741"/>
  <pageSetup paperSize="8" scale="73" orientation="landscape" r:id="rId1"/>
  <headerFooter>
    <oddFooter>&amp;LAGCC.979-0000-2014803-D14-0009_02_ER.xlsx&amp;RFormat A3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AI - INST</vt:lpstr>
      <vt:lpstr>FCV - INST</vt:lpstr>
      <vt:lpstr>XV VALVE</vt:lpstr>
      <vt:lpstr>'AI - INST'!Print_Area</vt:lpstr>
      <vt:lpstr>'XV VALVE'!Print_Area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Balaji</dc:creator>
  <cp:lastModifiedBy>Akash Balaji</cp:lastModifiedBy>
  <dcterms:created xsi:type="dcterms:W3CDTF">2026-04-13T10:53:51Z</dcterms:created>
  <dcterms:modified xsi:type="dcterms:W3CDTF">2026-04-13T12:18:31Z</dcterms:modified>
</cp:coreProperties>
</file>